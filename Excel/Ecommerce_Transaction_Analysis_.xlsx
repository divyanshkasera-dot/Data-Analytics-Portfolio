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BD1A208005D3667/Desktop/Projects/"/>
    </mc:Choice>
  </mc:AlternateContent>
  <xr:revisionPtr revIDLastSave="8" documentId="8_{2D3335FD-17BA-4632-8EE0-9C7122327BF3}" xr6:coauthVersionLast="47" xr6:coauthVersionMax="47" xr10:uidLastSave="{3128AFAB-A176-42D4-A2CA-9944385AF3B0}"/>
  <bookViews>
    <workbookView xWindow="-108" yWindow="-108" windowWidth="23256" windowHeight="13896" activeTab="2" xr2:uid="{00000000-000D-0000-FFFF-FFFF00000000}"/>
  </bookViews>
  <sheets>
    <sheet name="Raw_Data" sheetId="1" r:id="rId1"/>
    <sheet name="Data_Cleaning" sheetId="2" r:id="rId2"/>
    <sheet name="Analysis" sheetId="6" r:id="rId3"/>
  </sheets>
  <calcPr calcId="191029" iterateDelta="1E-4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6" l="1"/>
  <c r="B7" i="6"/>
  <c r="B2" i="6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</calcChain>
</file>

<file path=xl/sharedStrings.xml><?xml version="1.0" encoding="utf-8"?>
<sst xmlns="http://schemas.openxmlformats.org/spreadsheetml/2006/main" count="4261" uniqueCount="616">
  <si>
    <t>Order ID</t>
  </si>
  <si>
    <t>Customer ID</t>
  </si>
  <si>
    <t>Order Date</t>
  </si>
  <si>
    <t>Category</t>
  </si>
  <si>
    <t>Product</t>
  </si>
  <si>
    <t>Quantity</t>
  </si>
  <si>
    <t>Unit Price</t>
  </si>
  <si>
    <t>Total Amount</t>
  </si>
  <si>
    <t>Payment Method</t>
  </si>
  <si>
    <t>City</t>
  </si>
  <si>
    <t>Rating</t>
  </si>
  <si>
    <t>ORD0001</t>
  </si>
  <si>
    <t>C163</t>
  </si>
  <si>
    <t>20-Jan-2025</t>
  </si>
  <si>
    <t>Fashion</t>
  </si>
  <si>
    <t>Shoes</t>
  </si>
  <si>
    <t>Card</t>
  </si>
  <si>
    <t>Mumbai</t>
  </si>
  <si>
    <t>ORD0002</t>
  </si>
  <si>
    <t>C191</t>
  </si>
  <si>
    <t>05-Jun-2025</t>
  </si>
  <si>
    <t>Electronics</t>
  </si>
  <si>
    <t>Keyboard</t>
  </si>
  <si>
    <t>Cash</t>
  </si>
  <si>
    <t>ORD0003</t>
  </si>
  <si>
    <t>C203</t>
  </si>
  <si>
    <t>03-Jan-2025</t>
  </si>
  <si>
    <t>Grocery</t>
  </si>
  <si>
    <t>Rice</t>
  </si>
  <si>
    <t>Indore</t>
  </si>
  <si>
    <t>ORD0004</t>
  </si>
  <si>
    <t>C186</t>
  </si>
  <si>
    <t>08-Apr-2025</t>
  </si>
  <si>
    <t>Speaker</t>
  </si>
  <si>
    <t>Net Banking</t>
  </si>
  <si>
    <t>Bangalore</t>
  </si>
  <si>
    <t>ORD0005</t>
  </si>
  <si>
    <t>C118</t>
  </si>
  <si>
    <t>30-Apr-2025</t>
  </si>
  <si>
    <t>ORD0006</t>
  </si>
  <si>
    <t>C210</t>
  </si>
  <si>
    <t>02-Mar-2025</t>
  </si>
  <si>
    <t>Beauty</t>
  </si>
  <si>
    <t>Face Wash</t>
  </si>
  <si>
    <t>Surat</t>
  </si>
  <si>
    <t>ORD0007</t>
  </si>
  <si>
    <t>C216</t>
  </si>
  <si>
    <t>20-Mar-2025</t>
  </si>
  <si>
    <t>UPI</t>
  </si>
  <si>
    <t>ORD0008</t>
  </si>
  <si>
    <t>C128</t>
  </si>
  <si>
    <t>04-Jun-2025</t>
  </si>
  <si>
    <t>Jaipur</t>
  </si>
  <si>
    <t>ORD0009</t>
  </si>
  <si>
    <t>C201</t>
  </si>
  <si>
    <t>09-May-2025</t>
  </si>
  <si>
    <t>Home</t>
  </si>
  <si>
    <t>Cookware</t>
  </si>
  <si>
    <t>ORD0010</t>
  </si>
  <si>
    <t>C109</t>
  </si>
  <si>
    <t>Shampoo</t>
  </si>
  <si>
    <t>ORD0011</t>
  </si>
  <si>
    <t>C123</t>
  </si>
  <si>
    <t>06-Apr-2025</t>
  </si>
  <si>
    <t>Wallet</t>
  </si>
  <si>
    <t>Hyderabad</t>
  </si>
  <si>
    <t>ORD0012</t>
  </si>
  <si>
    <t>C213</t>
  </si>
  <si>
    <t>27-Jun-2025</t>
  </si>
  <si>
    <t>Jeans</t>
  </si>
  <si>
    <t>Ahmedabad</t>
  </si>
  <si>
    <t>ORD0013</t>
  </si>
  <si>
    <t>C105</t>
  </si>
  <si>
    <t>19-Jan-2025</t>
  </si>
  <si>
    <t>Headphones</t>
  </si>
  <si>
    <t>ORD0014</t>
  </si>
  <si>
    <t>C134</t>
  </si>
  <si>
    <t>11-Jan-2025</t>
  </si>
  <si>
    <t>Lamp</t>
  </si>
  <si>
    <t>ORD0015</t>
  </si>
  <si>
    <t>C159</t>
  </si>
  <si>
    <t>22-Jun-2025</t>
  </si>
  <si>
    <t>ORD0016</t>
  </si>
  <si>
    <t>C206</t>
  </si>
  <si>
    <t>26-May-2025</t>
  </si>
  <si>
    <t>ORD0017</t>
  </si>
  <si>
    <t>09-Feb-2025</t>
  </si>
  <si>
    <t>Oil</t>
  </si>
  <si>
    <t>ORD0018</t>
  </si>
  <si>
    <t>C168</t>
  </si>
  <si>
    <t>30-Jun-2025</t>
  </si>
  <si>
    <t>Delhi</t>
  </si>
  <si>
    <t>ORD0019</t>
  </si>
  <si>
    <t>C126</t>
  </si>
  <si>
    <t>04-Apr-2025</t>
  </si>
  <si>
    <t>Cream</t>
  </si>
  <si>
    <t>ORD0020</t>
  </si>
  <si>
    <t>C114</t>
  </si>
  <si>
    <t>12-May-2025</t>
  </si>
  <si>
    <t>ORD0021</t>
  </si>
  <si>
    <t>C157</t>
  </si>
  <si>
    <t>19-Apr-2025</t>
  </si>
  <si>
    <t>Sugar</t>
  </si>
  <si>
    <t>ORD0022</t>
  </si>
  <si>
    <t>C174</t>
  </si>
  <si>
    <t>07-Mar-2025</t>
  </si>
  <si>
    <t>Mouse</t>
  </si>
  <si>
    <t>ORD0023</t>
  </si>
  <si>
    <t>21-Apr-2025</t>
  </si>
  <si>
    <t>ORD0024</t>
  </si>
  <si>
    <t>C180</t>
  </si>
  <si>
    <t>29-Apr-2025</t>
  </si>
  <si>
    <t>ORD0025</t>
  </si>
  <si>
    <t>ORD0026</t>
  </si>
  <si>
    <t>C145</t>
  </si>
  <si>
    <t>10-Apr-2025</t>
  </si>
  <si>
    <t>ORD0027</t>
  </si>
  <si>
    <t>C196</t>
  </si>
  <si>
    <t>17-Apr-2025</t>
  </si>
  <si>
    <t>ORD0028</t>
  </si>
  <si>
    <t>C212</t>
  </si>
  <si>
    <t>ORD0029</t>
  </si>
  <si>
    <t>C193</t>
  </si>
  <si>
    <t>24-Feb-2025</t>
  </si>
  <si>
    <t>ORD0030</t>
  </si>
  <si>
    <t>C207</t>
  </si>
  <si>
    <t>ORD0031</t>
  </si>
  <si>
    <t>C175</t>
  </si>
  <si>
    <t>14-May-2025</t>
  </si>
  <si>
    <t>ORD0032</t>
  </si>
  <si>
    <t>C129</t>
  </si>
  <si>
    <t>ORD0033</t>
  </si>
  <si>
    <t>09-Jun-2025</t>
  </si>
  <si>
    <t>Chair</t>
  </si>
  <si>
    <t>ORD0034</t>
  </si>
  <si>
    <t>C152</t>
  </si>
  <si>
    <t>Nagpur</t>
  </si>
  <si>
    <t>ORD0035</t>
  </si>
  <si>
    <t>C115</t>
  </si>
  <si>
    <t>11-Feb-2025</t>
  </si>
  <si>
    <t>Jacket</t>
  </si>
  <si>
    <t>ORD0036</t>
  </si>
  <si>
    <t>C185</t>
  </si>
  <si>
    <t>27-May-2025</t>
  </si>
  <si>
    <t>ORD0037</t>
  </si>
  <si>
    <t>C146</t>
  </si>
  <si>
    <t>02-Jun-2025</t>
  </si>
  <si>
    <t>ORD0038</t>
  </si>
  <si>
    <t>C190</t>
  </si>
  <si>
    <t>Power Bank</t>
  </si>
  <si>
    <t>Pune</t>
  </si>
  <si>
    <t>ORD0039</t>
  </si>
  <si>
    <t>C107</t>
  </si>
  <si>
    <t>27-Mar-2025</t>
  </si>
  <si>
    <t>ORD0040</t>
  </si>
  <si>
    <t>C160</t>
  </si>
  <si>
    <t>01-Jun-2025</t>
  </si>
  <si>
    <t>ORD0041</t>
  </si>
  <si>
    <t>C217</t>
  </si>
  <si>
    <t>29-Jun-2025</t>
  </si>
  <si>
    <t>ORD0042</t>
  </si>
  <si>
    <t>03-Mar-2025</t>
  </si>
  <si>
    <t>ORD0043</t>
  </si>
  <si>
    <t>C164</t>
  </si>
  <si>
    <t>24-Mar-2025</t>
  </si>
  <si>
    <t>ORD0044</t>
  </si>
  <si>
    <t>27-Jan-2025</t>
  </si>
  <si>
    <t>T-Shirt</t>
  </si>
  <si>
    <t>ORD0045</t>
  </si>
  <si>
    <t>C139</t>
  </si>
  <si>
    <t>05-Apr-2025</t>
  </si>
  <si>
    <t>ORD0046</t>
  </si>
  <si>
    <t>20-Jun-2025</t>
  </si>
  <si>
    <t>ORD0047</t>
  </si>
  <si>
    <t>22-Mar-2025</t>
  </si>
  <si>
    <t>ORD0048</t>
  </si>
  <si>
    <t>C104</t>
  </si>
  <si>
    <t>07-Jun-2025</t>
  </si>
  <si>
    <t>Bedsheet</t>
  </si>
  <si>
    <t>ORD0049</t>
  </si>
  <si>
    <t>C162</t>
  </si>
  <si>
    <t>ORD0050</t>
  </si>
  <si>
    <t>C197</t>
  </si>
  <si>
    <t>17-Feb-2025</t>
  </si>
  <si>
    <t>Perfume</t>
  </si>
  <si>
    <t>ORD0051</t>
  </si>
  <si>
    <t>21-Jan-2025</t>
  </si>
  <si>
    <t>ORD0052</t>
  </si>
  <si>
    <t>C183</t>
  </si>
  <si>
    <t>18-Jun-2025</t>
  </si>
  <si>
    <t>ORD0053</t>
  </si>
  <si>
    <t>C195</t>
  </si>
  <si>
    <t>ORD0054</t>
  </si>
  <si>
    <t>C119</t>
  </si>
  <si>
    <t>17-Mar-2025</t>
  </si>
  <si>
    <t>ORD0055</t>
  </si>
  <si>
    <t>26-Jun-2025</t>
  </si>
  <si>
    <t>ORD0056</t>
  </si>
  <si>
    <t>C177</t>
  </si>
  <si>
    <t>04-May-2025</t>
  </si>
  <si>
    <t>ORD0057</t>
  </si>
  <si>
    <t>C132</t>
  </si>
  <si>
    <t>14-Mar-2025</t>
  </si>
  <si>
    <t>ORD0058</t>
  </si>
  <si>
    <t>ORD0059</t>
  </si>
  <si>
    <t>C209</t>
  </si>
  <si>
    <t>06-Jun-2025</t>
  </si>
  <si>
    <t>Tea</t>
  </si>
  <si>
    <t>ORD0060</t>
  </si>
  <si>
    <t>C215</t>
  </si>
  <si>
    <t>15-Jun-2025</t>
  </si>
  <si>
    <t>ORD0061</t>
  </si>
  <si>
    <t>12-Feb-2025</t>
  </si>
  <si>
    <t>ORD0062</t>
  </si>
  <si>
    <t>C136</t>
  </si>
  <si>
    <t>ORD0063</t>
  </si>
  <si>
    <t>C120</t>
  </si>
  <si>
    <t>ORD0064</t>
  </si>
  <si>
    <t>18-Mar-2025</t>
  </si>
  <si>
    <t>ORD0065</t>
  </si>
  <si>
    <t>18-Jan-2025</t>
  </si>
  <si>
    <t>ORD0066</t>
  </si>
  <si>
    <t>07-Feb-2025</t>
  </si>
  <si>
    <t>ORD0067</t>
  </si>
  <si>
    <t>29-Jan-2025</t>
  </si>
  <si>
    <t>ORD0068</t>
  </si>
  <si>
    <t>ORD0069</t>
  </si>
  <si>
    <t>25-Jun-2025</t>
  </si>
  <si>
    <t>ORD0070</t>
  </si>
  <si>
    <t>C166</t>
  </si>
  <si>
    <t>23-Jun-2025</t>
  </si>
  <si>
    <t>ORD0071</t>
  </si>
  <si>
    <t>C103</t>
  </si>
  <si>
    <t>09-Jan-2025</t>
  </si>
  <si>
    <t>ORD0072</t>
  </si>
  <si>
    <t>15-May-2025</t>
  </si>
  <si>
    <t>ORD0073</t>
  </si>
  <si>
    <t>C143</t>
  </si>
  <si>
    <t>01-Jan-2025</t>
  </si>
  <si>
    <t>ORD0074</t>
  </si>
  <si>
    <t>30-Jan-2025</t>
  </si>
  <si>
    <t>ORD0075</t>
  </si>
  <si>
    <t>ORD0076</t>
  </si>
  <si>
    <t>16-Mar-2025</t>
  </si>
  <si>
    <t>ORD0077</t>
  </si>
  <si>
    <t>28-Jan-2025</t>
  </si>
  <si>
    <t>ORD0078</t>
  </si>
  <si>
    <t>C101</t>
  </si>
  <si>
    <t>24-Apr-2025</t>
  </si>
  <si>
    <t>ORD0079</t>
  </si>
  <si>
    <t>19-Feb-2025</t>
  </si>
  <si>
    <t>ORD0080</t>
  </si>
  <si>
    <t>24-May-2025</t>
  </si>
  <si>
    <t>ORD0081</t>
  </si>
  <si>
    <t>ORD0082</t>
  </si>
  <si>
    <t>C189</t>
  </si>
  <si>
    <t>22-May-2025</t>
  </si>
  <si>
    <t>ORD0083</t>
  </si>
  <si>
    <t>10-Feb-2025</t>
  </si>
  <si>
    <t>ORD0084</t>
  </si>
  <si>
    <t>22-Jan-2025</t>
  </si>
  <si>
    <t>ORD0085</t>
  </si>
  <si>
    <t>C204</t>
  </si>
  <si>
    <t>ORD0086</t>
  </si>
  <si>
    <t>31-Mar-2025</t>
  </si>
  <si>
    <t>ORD0087</t>
  </si>
  <si>
    <t>08-Jun-2025</t>
  </si>
  <si>
    <t>ORD0088</t>
  </si>
  <si>
    <t>ORD0089</t>
  </si>
  <si>
    <t>ORD0090</t>
  </si>
  <si>
    <t>C173</t>
  </si>
  <si>
    <t>04-Mar-2025</t>
  </si>
  <si>
    <t>ORD0091</t>
  </si>
  <si>
    <t>C218</t>
  </si>
  <si>
    <t>02-May-2025</t>
  </si>
  <si>
    <t>ORD0092</t>
  </si>
  <si>
    <t>C116</t>
  </si>
  <si>
    <t>20-Apr-2025</t>
  </si>
  <si>
    <t>ORD0093</t>
  </si>
  <si>
    <t>ORD0094</t>
  </si>
  <si>
    <t>ORD0095</t>
  </si>
  <si>
    <t>C181</t>
  </si>
  <si>
    <t>23-Feb-2025</t>
  </si>
  <si>
    <t>ORD0096</t>
  </si>
  <si>
    <t>25-Feb-2025</t>
  </si>
  <si>
    <t>ORD0097</t>
  </si>
  <si>
    <t>21-Mar-2025</t>
  </si>
  <si>
    <t>ORD0098</t>
  </si>
  <si>
    <t>31-May-2025</t>
  </si>
  <si>
    <t>ORD0099</t>
  </si>
  <si>
    <t>C194</t>
  </si>
  <si>
    <t>ORD0100</t>
  </si>
  <si>
    <t>28-Mar-2025</t>
  </si>
  <si>
    <t>ORD0101</t>
  </si>
  <si>
    <t>ORD0102</t>
  </si>
  <si>
    <t>ORD0103</t>
  </si>
  <si>
    <t>C169</t>
  </si>
  <si>
    <t>15-Feb-2025</t>
  </si>
  <si>
    <t>ORD0104</t>
  </si>
  <si>
    <t>C188</t>
  </si>
  <si>
    <t>ORD0105</t>
  </si>
  <si>
    <t>16-May-2025</t>
  </si>
  <si>
    <t>ORD0106</t>
  </si>
  <si>
    <t>ORD0107</t>
  </si>
  <si>
    <t>C202</t>
  </si>
  <si>
    <t>ORD0108</t>
  </si>
  <si>
    <t>13-Jan-2025</t>
  </si>
  <si>
    <t>ORD0109</t>
  </si>
  <si>
    <t>29-Mar-2025</t>
  </si>
  <si>
    <t>ORD0110</t>
  </si>
  <si>
    <t>31-Jan-2025</t>
  </si>
  <si>
    <t>ORD0111</t>
  </si>
  <si>
    <t>C149</t>
  </si>
  <si>
    <t>09-Apr-2025</t>
  </si>
  <si>
    <t>ORD0112</t>
  </si>
  <si>
    <t>ORD0113</t>
  </si>
  <si>
    <t>08-May-2025</t>
  </si>
  <si>
    <t>ORD0114</t>
  </si>
  <si>
    <t>C121</t>
  </si>
  <si>
    <t>27-Feb-2025</t>
  </si>
  <si>
    <t>ORD0115</t>
  </si>
  <si>
    <t>ORD0116</t>
  </si>
  <si>
    <t>05-Jan-2025</t>
  </si>
  <si>
    <t>ORD0117</t>
  </si>
  <si>
    <t>24-Jun-2025</t>
  </si>
  <si>
    <t>ORD0118</t>
  </si>
  <si>
    <t>ORD0119</t>
  </si>
  <si>
    <t>ORD0120</t>
  </si>
  <si>
    <t>14-Jan-2025</t>
  </si>
  <si>
    <t>ORD0121</t>
  </si>
  <si>
    <t>30-May-2025</t>
  </si>
  <si>
    <t>ORD0122</t>
  </si>
  <si>
    <t>11-Apr-2025</t>
  </si>
  <si>
    <t>ORD0123</t>
  </si>
  <si>
    <t>10-Mar-2025</t>
  </si>
  <si>
    <t>ORD0124</t>
  </si>
  <si>
    <t>13-Mar-2025</t>
  </si>
  <si>
    <t>ORD0125</t>
  </si>
  <si>
    <t>09-Mar-2025</t>
  </si>
  <si>
    <t>ORD0126</t>
  </si>
  <si>
    <t>22-Apr-2025</t>
  </si>
  <si>
    <t>ORD0127</t>
  </si>
  <si>
    <t>17-May-2025</t>
  </si>
  <si>
    <t>ORD0128</t>
  </si>
  <si>
    <t>C144</t>
  </si>
  <si>
    <t>01-Apr-2025</t>
  </si>
  <si>
    <t>ORD0129</t>
  </si>
  <si>
    <t>ORD0130</t>
  </si>
  <si>
    <t>16-Jan-2025</t>
  </si>
  <si>
    <t>ORD0131</t>
  </si>
  <si>
    <t>C184</t>
  </si>
  <si>
    <t>ORD0132</t>
  </si>
  <si>
    <t>16-Feb-2025</t>
  </si>
  <si>
    <t>ORD0133</t>
  </si>
  <si>
    <t>C165</t>
  </si>
  <si>
    <t>ORD0134</t>
  </si>
  <si>
    <t>C205</t>
  </si>
  <si>
    <t>22-Feb-2025</t>
  </si>
  <si>
    <t>ORD0135</t>
  </si>
  <si>
    <t>28-Jun-2025</t>
  </si>
  <si>
    <t>ORD0136</t>
  </si>
  <si>
    <t>ORD0137</t>
  </si>
  <si>
    <t>23-Apr-2025</t>
  </si>
  <si>
    <t>ORD0138</t>
  </si>
  <si>
    <t>C106</t>
  </si>
  <si>
    <t>ORD0139</t>
  </si>
  <si>
    <t>27-Apr-2025</t>
  </si>
  <si>
    <t>ORD0140</t>
  </si>
  <si>
    <t>ORD0141</t>
  </si>
  <si>
    <t>20-May-2025</t>
  </si>
  <si>
    <t>ORD0142</t>
  </si>
  <si>
    <t>ORD0143</t>
  </si>
  <si>
    <t>C172</t>
  </si>
  <si>
    <t>ORD0144</t>
  </si>
  <si>
    <t>21-May-2025</t>
  </si>
  <si>
    <t>ORD0145</t>
  </si>
  <si>
    <t>C214</t>
  </si>
  <si>
    <t>ORD0146</t>
  </si>
  <si>
    <t>25-Apr-2025</t>
  </si>
  <si>
    <t>ORD0147</t>
  </si>
  <si>
    <t>C150</t>
  </si>
  <si>
    <t>ORD0148</t>
  </si>
  <si>
    <t>C192</t>
  </si>
  <si>
    <t>ORD0149</t>
  </si>
  <si>
    <t>ORD0150</t>
  </si>
  <si>
    <t>06-May-2025</t>
  </si>
  <si>
    <t>ORD0151</t>
  </si>
  <si>
    <t>ORD0152</t>
  </si>
  <si>
    <t>ORD0153</t>
  </si>
  <si>
    <t>C138</t>
  </si>
  <si>
    <t>08-Feb-2025</t>
  </si>
  <si>
    <t>ORD0154</t>
  </si>
  <si>
    <t>11-Mar-2025</t>
  </si>
  <si>
    <t>ORD0155</t>
  </si>
  <si>
    <t>C137</t>
  </si>
  <si>
    <t>ORD0156</t>
  </si>
  <si>
    <t>23-Jan-2025</t>
  </si>
  <si>
    <t>ORD0157</t>
  </si>
  <si>
    <t>ORD0158</t>
  </si>
  <si>
    <t>03-Apr-2025</t>
  </si>
  <si>
    <t>ORD0159</t>
  </si>
  <si>
    <t>ORD0160</t>
  </si>
  <si>
    <t>C130</t>
  </si>
  <si>
    <t>19-Mar-2025</t>
  </si>
  <si>
    <t>ORD0161</t>
  </si>
  <si>
    <t>ORD0162</t>
  </si>
  <si>
    <t>08-Mar-2025</t>
  </si>
  <si>
    <t>ORD0163</t>
  </si>
  <si>
    <t>ORD0164</t>
  </si>
  <si>
    <t>C156</t>
  </si>
  <si>
    <t>ORD0165</t>
  </si>
  <si>
    <t>C151</t>
  </si>
  <si>
    <t>26-Jan-2025</t>
  </si>
  <si>
    <t>ORD0166</t>
  </si>
  <si>
    <t>06-Mar-2025</t>
  </si>
  <si>
    <t>ORD0167</t>
  </si>
  <si>
    <t>C102</t>
  </si>
  <si>
    <t>ORD0168</t>
  </si>
  <si>
    <t>02-Feb-2025</t>
  </si>
  <si>
    <t>ORD0169</t>
  </si>
  <si>
    <t>ORD0170</t>
  </si>
  <si>
    <t>ORD0171</t>
  </si>
  <si>
    <t>C187</t>
  </si>
  <si>
    <t>ORD0172</t>
  </si>
  <si>
    <t>ORD0173</t>
  </si>
  <si>
    <t>07-Apr-2025</t>
  </si>
  <si>
    <t>ORD0174</t>
  </si>
  <si>
    <t>ORD0175</t>
  </si>
  <si>
    <t>ORD0176</t>
  </si>
  <si>
    <t>C125</t>
  </si>
  <si>
    <t>ORD0177</t>
  </si>
  <si>
    <t>ORD0178</t>
  </si>
  <si>
    <t>C178</t>
  </si>
  <si>
    <t>ORD0179</t>
  </si>
  <si>
    <t>C179</t>
  </si>
  <si>
    <t>07-May-2025</t>
  </si>
  <si>
    <t>ORD0180</t>
  </si>
  <si>
    <t>C170</t>
  </si>
  <si>
    <t>02-Jan-2025</t>
  </si>
  <si>
    <t>ORD0181</t>
  </si>
  <si>
    <t>C135</t>
  </si>
  <si>
    <t>ORD0182</t>
  </si>
  <si>
    <t>ORD0183</t>
  </si>
  <si>
    <t>C131</t>
  </si>
  <si>
    <t>06-Feb-2025</t>
  </si>
  <si>
    <t>ORD0184</t>
  </si>
  <si>
    <t>ORD0185</t>
  </si>
  <si>
    <t>ORD0186</t>
  </si>
  <si>
    <t>ORD0187</t>
  </si>
  <si>
    <t>ORD0188</t>
  </si>
  <si>
    <t>28-Apr-2025</t>
  </si>
  <si>
    <t>ORD0189</t>
  </si>
  <si>
    <t>20-Feb-2025</t>
  </si>
  <si>
    <t>ORD0190</t>
  </si>
  <si>
    <t>ORD0191</t>
  </si>
  <si>
    <t>ORD0192</t>
  </si>
  <si>
    <t>C182</t>
  </si>
  <si>
    <t>01-Mar-2025</t>
  </si>
  <si>
    <t>ORD0193</t>
  </si>
  <si>
    <t>ORD0194</t>
  </si>
  <si>
    <t>ORD0195</t>
  </si>
  <si>
    <t>ORD0196</t>
  </si>
  <si>
    <t>C140</t>
  </si>
  <si>
    <t>19-Jun-2025</t>
  </si>
  <si>
    <t>ORD0197</t>
  </si>
  <si>
    <t>13-Jun-2025</t>
  </si>
  <si>
    <t>ORD0198</t>
  </si>
  <si>
    <t>ORD0199</t>
  </si>
  <si>
    <t>C171</t>
  </si>
  <si>
    <t>ORD0200</t>
  </si>
  <si>
    <t>C158</t>
  </si>
  <si>
    <t>ORD0201</t>
  </si>
  <si>
    <t>ORD0202</t>
  </si>
  <si>
    <t>28-May-2025</t>
  </si>
  <si>
    <t>ORD0203</t>
  </si>
  <si>
    <t>ORD0204</t>
  </si>
  <si>
    <t>ORD0205</t>
  </si>
  <si>
    <t>ORD0206</t>
  </si>
  <si>
    <t>ORD0207</t>
  </si>
  <si>
    <t>ORD0208</t>
  </si>
  <si>
    <t>C200</t>
  </si>
  <si>
    <t>ORD0209</t>
  </si>
  <si>
    <t>25-May-2025</t>
  </si>
  <si>
    <t>ORD0210</t>
  </si>
  <si>
    <t>15-Mar-2025</t>
  </si>
  <si>
    <t>ORD0211</t>
  </si>
  <si>
    <t>08-Jan-2025</t>
  </si>
  <si>
    <t>ORD0212</t>
  </si>
  <si>
    <t>ORD0213</t>
  </si>
  <si>
    <t>ORD0214</t>
  </si>
  <si>
    <t>13-Feb-2025</t>
  </si>
  <si>
    <t>ORD0215</t>
  </si>
  <si>
    <t>ORD0216</t>
  </si>
  <si>
    <t>26-Mar-2025</t>
  </si>
  <si>
    <t>ORD0217</t>
  </si>
  <si>
    <t>C142</t>
  </si>
  <si>
    <t>ORD0218</t>
  </si>
  <si>
    <t>ORD0219</t>
  </si>
  <si>
    <t>ORD0220</t>
  </si>
  <si>
    <t>18-Apr-2025</t>
  </si>
  <si>
    <t>ORD0221</t>
  </si>
  <si>
    <t>15-Jan-2025</t>
  </si>
  <si>
    <t>ORD0222</t>
  </si>
  <si>
    <t>ORD0223</t>
  </si>
  <si>
    <t>18-Feb-2025</t>
  </si>
  <si>
    <t>ORD0224</t>
  </si>
  <si>
    <t>ORD0225</t>
  </si>
  <si>
    <t>ORD0226</t>
  </si>
  <si>
    <t>ORD0227</t>
  </si>
  <si>
    <t>C167</t>
  </si>
  <si>
    <t>ORD0228</t>
  </si>
  <si>
    <t>16-Jun-2025</t>
  </si>
  <si>
    <t>ORD0229</t>
  </si>
  <si>
    <t>C220</t>
  </si>
  <si>
    <t>10-May-2025</t>
  </si>
  <si>
    <t>ORD0230</t>
  </si>
  <si>
    <t>ORD0231</t>
  </si>
  <si>
    <t>ORD0232</t>
  </si>
  <si>
    <t>ORD0233</t>
  </si>
  <si>
    <t>C154</t>
  </si>
  <si>
    <t>ORD0234</t>
  </si>
  <si>
    <t>ORD0235</t>
  </si>
  <si>
    <t>04-Jan-2025</t>
  </si>
  <si>
    <t>ORD0236</t>
  </si>
  <si>
    <t>ORD0237</t>
  </si>
  <si>
    <t>ORD0238</t>
  </si>
  <si>
    <t>11-Jun-2025</t>
  </si>
  <si>
    <t>ORD0239</t>
  </si>
  <si>
    <t>23-Mar-2025</t>
  </si>
  <si>
    <t>ORD0240</t>
  </si>
  <si>
    <t>ORD0241</t>
  </si>
  <si>
    <t>02-Apr-2025</t>
  </si>
  <si>
    <t>ORD0242</t>
  </si>
  <si>
    <t>ORD0243</t>
  </si>
  <si>
    <t>ORD0244</t>
  </si>
  <si>
    <t>C133</t>
  </si>
  <si>
    <t>ORD0245</t>
  </si>
  <si>
    <t>C108</t>
  </si>
  <si>
    <t>ORD0246</t>
  </si>
  <si>
    <t>ORD0247</t>
  </si>
  <si>
    <t>ORD0248</t>
  </si>
  <si>
    <t>ORD0249</t>
  </si>
  <si>
    <t>ORD0250</t>
  </si>
  <si>
    <t>ORD0251</t>
  </si>
  <si>
    <t>21-Feb-2025</t>
  </si>
  <si>
    <t>ORD0252</t>
  </si>
  <si>
    <t>ORD0253</t>
  </si>
  <si>
    <t>ORD0254</t>
  </si>
  <si>
    <t>ORD0255</t>
  </si>
  <si>
    <t>ORD0256</t>
  </si>
  <si>
    <t>ORD0257</t>
  </si>
  <si>
    <t>ORD0258</t>
  </si>
  <si>
    <t>C127</t>
  </si>
  <si>
    <t>26-Apr-2025</t>
  </si>
  <si>
    <t>ORD0259</t>
  </si>
  <si>
    <t>ORD0260</t>
  </si>
  <si>
    <t>ORD0261</t>
  </si>
  <si>
    <t>ORD0262</t>
  </si>
  <si>
    <t>25-Jan-2025</t>
  </si>
  <si>
    <t>ORD0263</t>
  </si>
  <si>
    <t>ORD0264</t>
  </si>
  <si>
    <t>ORD0265</t>
  </si>
  <si>
    <t>ORD0266</t>
  </si>
  <si>
    <t>04-Feb-2025</t>
  </si>
  <si>
    <t>ORD0267</t>
  </si>
  <si>
    <t>ORD0268</t>
  </si>
  <si>
    <t>C110</t>
  </si>
  <si>
    <t>ORD0269</t>
  </si>
  <si>
    <t>ORD0270</t>
  </si>
  <si>
    <t>ORD0271</t>
  </si>
  <si>
    <t>05-Feb-2025</t>
  </si>
  <si>
    <t>ORD0272</t>
  </si>
  <si>
    <t>C176</t>
  </si>
  <si>
    <t>ORD0273</t>
  </si>
  <si>
    <t>ORD0274</t>
  </si>
  <si>
    <t>ORD0275</t>
  </si>
  <si>
    <t>06-Jan-2025</t>
  </si>
  <si>
    <t>ORD0276</t>
  </si>
  <si>
    <t>ORD0277</t>
  </si>
  <si>
    <t>ORD0278</t>
  </si>
  <si>
    <t>ORD0279</t>
  </si>
  <si>
    <t>ORD0280</t>
  </si>
  <si>
    <t>03-Feb-2025</t>
  </si>
  <si>
    <t>ORD0281</t>
  </si>
  <si>
    <t>03-May-2025</t>
  </si>
  <si>
    <t>ORD0282</t>
  </si>
  <si>
    <t>ORD0283</t>
  </si>
  <si>
    <t>ORD0284</t>
  </si>
  <si>
    <t>ORD0285</t>
  </si>
  <si>
    <t>ORD0286</t>
  </si>
  <si>
    <t>ORD0287</t>
  </si>
  <si>
    <t>ORD0288</t>
  </si>
  <si>
    <t>01-May-2025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</si>
  <si>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</si>
  <si>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</si>
  <si>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</si>
  <si>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</si>
  <si>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</si>
  <si>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</si>
  <si>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</si>
  <si>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</si>
  <si>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</si>
  <si>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</si>
  <si>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</si>
  <si>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C141</t>
  </si>
  <si>
    <t>ORD0300</t>
  </si>
  <si>
    <t>C161</t>
  </si>
  <si>
    <t xml:space="preserve">Order Count </t>
  </si>
  <si>
    <t>Mode Of Customer Order :</t>
  </si>
  <si>
    <t>Standard deviation to analyze consistency:</t>
  </si>
  <si>
    <t>STDEV.P</t>
  </si>
  <si>
    <t>STDEV.S</t>
  </si>
  <si>
    <t>Top Percentile Spending Customer:</t>
  </si>
  <si>
    <t>Row Labels</t>
  </si>
  <si>
    <t>Grand Total</t>
  </si>
  <si>
    <t>Sum of 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</si>
</sst>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4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06.505172916666" createdVersion="8" refreshedVersion="8" minRefreshableVersion="3" recordCount="300" xr:uid="{C44D5E7B-235B-495C-9189-5C2E105111DC}">
  <cacheSource type="worksheet">
    <worksheetSource name="TableTransections"/>
  </cacheSource>
  <cacheFields count="12">
    <cacheField name="Order ID" numFmtId="0">
      <sharedItems/>
    </cacheField>
    <cacheField name="Customer ID" numFmtId="0">
      <sharedItems count="105">
        <s v="C163"/>
        <s v="C191"/>
        <s v="C203"/>
        <s v="C186"/>
        <s v="C118"/>
        <s v="C210"/>
        <s v="C216"/>
        <s v="C128"/>
        <s v="C201"/>
        <s v="C109"/>
        <s v="C123"/>
        <s v="C213"/>
        <s v="C105"/>
        <s v="C134"/>
        <s v="C159"/>
        <s v="C206"/>
        <s v="C168"/>
        <s v="C126"/>
        <s v="C114"/>
        <s v="C157"/>
        <s v="C174"/>
        <s v="C180"/>
        <s v="C145"/>
        <s v="C196"/>
        <s v="C212"/>
        <s v="C193"/>
        <s v="C207"/>
        <s v="C175"/>
        <s v="C129"/>
        <s v="C152"/>
        <s v="C115"/>
        <s v="C185"/>
        <s v="C146"/>
        <s v="C190"/>
        <s v="C107"/>
        <s v="C160"/>
        <s v="C217"/>
        <s v="C164"/>
        <s v="C139"/>
        <s v="C104"/>
        <s v="C162"/>
        <s v="C197"/>
        <s v="C183"/>
        <s v="C195"/>
        <s v="C119"/>
        <s v="C177"/>
        <s v="C132"/>
        <s v="C209"/>
        <s v="C215"/>
        <s v="C136"/>
        <s v="C120"/>
        <s v="C166"/>
        <s v="C103"/>
        <s v="C143"/>
        <s v="C101"/>
        <s v="C189"/>
        <s v="C204"/>
        <s v="C173"/>
        <s v="C218"/>
        <s v="C116"/>
        <s v="C181"/>
        <s v="C194"/>
        <s v="C169"/>
        <s v="C188"/>
        <s v="C202"/>
        <s v="C149"/>
        <s v="C121"/>
        <s v="C144"/>
        <s v="C184"/>
        <s v="C165"/>
        <s v="C205"/>
        <s v="C106"/>
        <s v="C172"/>
        <s v="C214"/>
        <s v="C150"/>
        <s v="C192"/>
        <s v="C138"/>
        <s v="C137"/>
        <s v="C130"/>
        <s v="C156"/>
        <s v="C151"/>
        <s v="C102"/>
        <s v="C187"/>
        <s v="C125"/>
        <s v="C178"/>
        <s v="C179"/>
        <s v="C170"/>
        <s v="C135"/>
        <s v="C131"/>
        <s v="C182"/>
        <s v="C140"/>
        <s v="C171"/>
        <s v="C158"/>
        <s v="C200"/>
        <s v="C142"/>
        <s v="C167"/>
        <s v="C220"/>
        <s v="C154"/>
        <s v="C133"/>
        <s v="C108"/>
        <s v="C127"/>
        <s v="C110"/>
        <s v="C176"/>
        <s v="C141"/>
        <s v="C161"/>
      </sharedItems>
    </cacheField>
    <cacheField name="Order Date" numFmtId="0">
      <sharedItems/>
    </cacheField>
    <cacheField name="Category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10"/>
    </cacheField>
    <cacheField name="Unit Price" numFmtId="0">
      <sharedItems containsSemiMixedTypes="0" containsString="0" containsNumber="1" containsInteger="1" minValue="146" maxValue="29790"/>
    </cacheField>
    <cacheField name="Total Amount" numFmtId="0">
      <sharedItems containsSemiMixedTypes="0" containsString="0" containsNumber="1" containsInteger="1" minValue="1125" maxValue="278860"/>
    </cacheField>
    <cacheField name="Payment Method" numFmtId="0">
      <sharedItems/>
    </cacheField>
    <cacheField name="City" numFmtId="0">
      <sharedItems/>
    </cacheField>
    <cacheField name="Rating" numFmtId="0">
      <sharedItems containsSemiMixedTypes="0" containsString="0" containsNumber="1" containsInteger="1" minValue="1" maxValue="5"/>
    </cacheField>
    <cacheField name="Order Count " numFmtId="0">
      <sharedItems containsSemiMixedTypes="0" containsString="0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ORD0001"/>
    <x v="0"/>
    <s v="20-Jan-2025"/>
    <s v="Fashion"/>
    <s v="Shoes"/>
    <n v="1"/>
    <n v="26793"/>
    <n v="26793"/>
    <s v="Card"/>
    <s v="Mumbai"/>
    <n v="4"/>
    <n v="1"/>
  </r>
  <r>
    <s v="ORD0002"/>
    <x v="1"/>
    <s v="05-Jun-2025"/>
    <s v="Electronics"/>
    <s v="Keyboard"/>
    <n v="4"/>
    <n v="3055"/>
    <n v="12220"/>
    <s v="Cash"/>
    <s v="Mumbai"/>
    <n v="4"/>
    <n v="7"/>
  </r>
  <r>
    <s v="ORD0003"/>
    <x v="2"/>
    <s v="03-Jan-2025"/>
    <s v="Grocery"/>
    <s v="Rice"/>
    <n v="2"/>
    <n v="18282"/>
    <n v="36564"/>
    <s v="Card"/>
    <s v="Indore"/>
    <n v="2"/>
    <n v="3"/>
  </r>
  <r>
    <s v="ORD0004"/>
    <x v="3"/>
    <s v="08-Apr-2025"/>
    <s v="Electronics"/>
    <s v="Speaker"/>
    <n v="8"/>
    <n v="22824"/>
    <n v="182592"/>
    <s v="Net Banking"/>
    <s v="Bangalore"/>
    <n v="2"/>
    <n v="5"/>
  </r>
  <r>
    <s v="ORD0005"/>
    <x v="4"/>
    <s v="30-Apr-2025"/>
    <s v="Electronics"/>
    <s v="Keyboard"/>
    <n v="6"/>
    <n v="17852"/>
    <n v="107112"/>
    <s v="Card"/>
    <s v="Indore"/>
    <n v="3"/>
    <n v="4"/>
  </r>
  <r>
    <s v="ORD0006"/>
    <x v="5"/>
    <s v="02-Mar-2025"/>
    <s v="Beauty"/>
    <s v="Face Wash"/>
    <n v="9"/>
    <n v="20205"/>
    <n v="181845"/>
    <s v="Cash"/>
    <s v="Surat"/>
    <n v="4"/>
    <n v="3"/>
  </r>
  <r>
    <s v="ORD0007"/>
    <x v="6"/>
    <s v="20-Mar-2025"/>
    <s v="Electronics"/>
    <s v="Keyboard"/>
    <n v="7"/>
    <n v="16632"/>
    <n v="116424"/>
    <s v="UPI"/>
    <s v="Indore"/>
    <n v="2"/>
    <n v="2"/>
  </r>
  <r>
    <s v="ORD0008"/>
    <x v="7"/>
    <s v="04-Jun-2025"/>
    <s v="Beauty"/>
    <s v="Face Wash"/>
    <n v="2"/>
    <n v="28881"/>
    <n v="57762"/>
    <s v="Card"/>
    <s v="Jaipur"/>
    <n v="3"/>
    <n v="4"/>
  </r>
  <r>
    <s v="ORD0009"/>
    <x v="8"/>
    <s v="09-May-2025"/>
    <s v="Home"/>
    <s v="Cookware"/>
    <n v="4"/>
    <n v="19219"/>
    <n v="76876"/>
    <s v="Net Banking"/>
    <s v="Jaipur"/>
    <n v="4"/>
    <n v="3"/>
  </r>
  <r>
    <s v="ORD0010"/>
    <x v="9"/>
    <s v="20-Jan-2025"/>
    <s v="Beauty"/>
    <s v="Shampoo"/>
    <n v="8"/>
    <n v="279"/>
    <n v="2232"/>
    <s v="Net Banking"/>
    <s v="Bangalore"/>
    <n v="3"/>
    <n v="3"/>
  </r>
  <r>
    <s v="ORD0011"/>
    <x v="10"/>
    <s v="06-Apr-2025"/>
    <s v="Beauty"/>
    <s v="Shampoo"/>
    <n v="1"/>
    <n v="3968"/>
    <n v="3968"/>
    <s v="Wallet"/>
    <s v="Hyderabad"/>
    <n v="4"/>
    <n v="1"/>
  </r>
  <r>
    <s v="ORD0012"/>
    <x v="11"/>
    <s v="27-Jun-2025"/>
    <s v="Fashion"/>
    <s v="Jeans"/>
    <n v="10"/>
    <n v="19501"/>
    <n v="195010"/>
    <s v="UPI"/>
    <s v="Ahmedabad"/>
    <n v="4"/>
    <n v="6"/>
  </r>
  <r>
    <s v="ORD0013"/>
    <x v="12"/>
    <s v="19-Jan-2025"/>
    <s v="Electronics"/>
    <s v="Headphones"/>
    <n v="3"/>
    <n v="6631"/>
    <n v="19893"/>
    <s v="Wallet"/>
    <s v="Surat"/>
    <n v="4"/>
    <n v="5"/>
  </r>
  <r>
    <s v="ORD0014"/>
    <x v="13"/>
    <s v="11-Jan-2025"/>
    <s v="Home"/>
    <s v="Lamp"/>
    <n v="7"/>
    <n v="7273"/>
    <n v="50911"/>
    <s v="Cash"/>
    <s v="Bangalore"/>
    <n v="1"/>
    <n v="3"/>
  </r>
  <r>
    <s v="ORD0015"/>
    <x v="14"/>
    <s v="22-Jun-2025"/>
    <s v="Home"/>
    <s v="Cookware"/>
    <n v="5"/>
    <n v="17200"/>
    <n v="86000"/>
    <s v="UPI"/>
    <s v="Jaipur"/>
    <n v="2"/>
    <n v="3"/>
  </r>
  <r>
    <s v="ORD0016"/>
    <x v="15"/>
    <s v="26-May-2025"/>
    <s v="Beauty"/>
    <s v="Shampoo"/>
    <n v="3"/>
    <n v="13201"/>
    <n v="39603"/>
    <s v="UPI"/>
    <s v="Surat"/>
    <n v="5"/>
    <n v="5"/>
  </r>
  <r>
    <s v="ORD0017"/>
    <x v="2"/>
    <s v="09-Feb-2025"/>
    <s v="Grocery"/>
    <s v="Oil"/>
    <n v="5"/>
    <n v="26527"/>
    <n v="132635"/>
    <s v="UPI"/>
    <s v="Hyderabad"/>
    <n v="2"/>
    <n v="3"/>
  </r>
  <r>
    <s v="ORD0018"/>
    <x v="16"/>
    <s v="30-Jun-2025"/>
    <s v="Beauty"/>
    <s v="Face Wash"/>
    <n v="8"/>
    <n v="23622"/>
    <n v="188976"/>
    <s v="Wallet"/>
    <s v="Delhi"/>
    <n v="4"/>
    <n v="2"/>
  </r>
  <r>
    <s v="ORD0019"/>
    <x v="17"/>
    <s v="04-Apr-2025"/>
    <s v="Beauty"/>
    <s v="Cream"/>
    <n v="8"/>
    <n v="8755"/>
    <n v="70040"/>
    <s v="Cash"/>
    <s v="Indore"/>
    <n v="4"/>
    <n v="6"/>
  </r>
  <r>
    <s v="ORD0020"/>
    <x v="18"/>
    <s v="12-May-2025"/>
    <s v="Grocery"/>
    <s v="Rice"/>
    <n v="6"/>
    <n v="4210"/>
    <n v="25260"/>
    <s v="Cash"/>
    <s v="Ahmedabad"/>
    <n v="1"/>
    <n v="5"/>
  </r>
  <r>
    <s v="ORD0021"/>
    <x v="19"/>
    <s v="19-Apr-2025"/>
    <s v="Grocery"/>
    <s v="Sugar"/>
    <n v="3"/>
    <n v="7168"/>
    <n v="21504"/>
    <s v="Net Banking"/>
    <s v="Bangalore"/>
    <n v="5"/>
    <n v="5"/>
  </r>
  <r>
    <s v="ORD0022"/>
    <x v="20"/>
    <s v="07-Mar-2025"/>
    <s v="Electronics"/>
    <s v="Mouse"/>
    <n v="10"/>
    <n v="27886"/>
    <n v="278860"/>
    <s v="Net Banking"/>
    <s v="Delhi"/>
    <n v="1"/>
    <n v="3"/>
  </r>
  <r>
    <s v="ORD0023"/>
    <x v="3"/>
    <s v="21-Apr-2025"/>
    <s v="Electronics"/>
    <s v="Mouse"/>
    <n v="1"/>
    <n v="3599"/>
    <n v="3599"/>
    <s v="Net Banking"/>
    <s v="Ahmedabad"/>
    <n v="1"/>
    <n v="5"/>
  </r>
  <r>
    <s v="ORD0024"/>
    <x v="21"/>
    <s v="29-Apr-2025"/>
    <s v="Beauty"/>
    <s v="Cream"/>
    <n v="10"/>
    <n v="8459"/>
    <n v="84590"/>
    <s v="Card"/>
    <s v="Surat"/>
    <n v="1"/>
    <n v="2"/>
  </r>
  <r>
    <s v="ORD0025"/>
    <x v="1"/>
    <s v="04-Apr-2025"/>
    <s v="Beauty"/>
    <s v="Shampoo"/>
    <n v="7"/>
    <n v="10375"/>
    <n v="72625"/>
    <s v="Cash"/>
    <s v="Delhi"/>
    <n v="5"/>
    <n v="7"/>
  </r>
  <r>
    <s v="ORD0026"/>
    <x v="22"/>
    <s v="10-Apr-2025"/>
    <s v="Beauty"/>
    <s v="Face Wash"/>
    <n v="7"/>
    <n v="21263"/>
    <n v="148841"/>
    <s v="Cash"/>
    <s v="Jaipur"/>
    <n v="3"/>
    <n v="6"/>
  </r>
  <r>
    <s v="ORD0027"/>
    <x v="23"/>
    <s v="17-Apr-2025"/>
    <s v="Grocery"/>
    <s v="Rice"/>
    <n v="5"/>
    <n v="6733"/>
    <n v="33665"/>
    <s v="Net Banking"/>
    <s v="Mumbai"/>
    <n v="4"/>
    <n v="4"/>
  </r>
  <r>
    <s v="ORD0028"/>
    <x v="24"/>
    <s v="09-Feb-2025"/>
    <s v="Grocery"/>
    <s v="Sugar"/>
    <n v="7"/>
    <n v="13093"/>
    <n v="91651"/>
    <s v="Net Banking"/>
    <s v="Hyderabad"/>
    <n v="5"/>
    <n v="2"/>
  </r>
  <r>
    <s v="ORD0029"/>
    <x v="25"/>
    <s v="24-Feb-2025"/>
    <s v="Electronics"/>
    <s v="Mouse"/>
    <n v="7"/>
    <n v="8484"/>
    <n v="59388"/>
    <s v="UPI"/>
    <s v="Bangalore"/>
    <n v="1"/>
    <n v="4"/>
  </r>
  <r>
    <s v="ORD0030"/>
    <x v="26"/>
    <s v="03-Jan-2025"/>
    <s v="Fashion"/>
    <s v="Shoes"/>
    <n v="3"/>
    <n v="8683"/>
    <n v="26049"/>
    <s v="Net Banking"/>
    <s v="Hyderabad"/>
    <n v="1"/>
    <n v="3"/>
  </r>
  <r>
    <s v="ORD0031"/>
    <x v="27"/>
    <s v="14-May-2025"/>
    <s v="Electronics"/>
    <s v="Keyboard"/>
    <n v="4"/>
    <n v="6372"/>
    <n v="25488"/>
    <s v="Cash"/>
    <s v="Delhi"/>
    <n v="1"/>
    <n v="3"/>
  </r>
  <r>
    <s v="ORD0032"/>
    <x v="28"/>
    <s v="05-Jun-2025"/>
    <s v="Home"/>
    <s v="Cookware"/>
    <n v="7"/>
    <n v="519"/>
    <n v="3633"/>
    <s v="Card"/>
    <s v="Jaipur"/>
    <n v="3"/>
    <n v="3"/>
  </r>
  <r>
    <s v="ORD0033"/>
    <x v="6"/>
    <s v="09-Jun-2025"/>
    <s v="Home"/>
    <s v="Chair"/>
    <n v="6"/>
    <n v="5888"/>
    <n v="35328"/>
    <s v="UPI"/>
    <s v="Delhi"/>
    <n v="1"/>
    <n v="2"/>
  </r>
  <r>
    <s v="ORD0034"/>
    <x v="29"/>
    <s v="24-Feb-2025"/>
    <s v="Fashion"/>
    <s v="Jeans"/>
    <n v="9"/>
    <n v="5935"/>
    <n v="53415"/>
    <s v="UPI"/>
    <s v="Nagpur"/>
    <n v="1"/>
    <n v="5"/>
  </r>
  <r>
    <s v="ORD0035"/>
    <x v="30"/>
    <s v="11-Feb-2025"/>
    <s v="Fashion"/>
    <s v="Jacket"/>
    <n v="7"/>
    <n v="22253"/>
    <n v="155771"/>
    <s v="Cash"/>
    <s v="Nagpur"/>
    <n v="5"/>
    <n v="3"/>
  </r>
  <r>
    <s v="ORD0036"/>
    <x v="31"/>
    <s v="27-May-2025"/>
    <s v="Fashion"/>
    <s v="Jacket"/>
    <n v="5"/>
    <n v="5488"/>
    <n v="27440"/>
    <s v="Wallet"/>
    <s v="Mumbai"/>
    <n v="5"/>
    <n v="3"/>
  </r>
  <r>
    <s v="ORD0037"/>
    <x v="32"/>
    <s v="02-Jun-2025"/>
    <s v="Grocery"/>
    <s v="Oil"/>
    <n v="8"/>
    <n v="21048"/>
    <n v="168384"/>
    <s v="Card"/>
    <s v="Surat"/>
    <n v="4"/>
    <n v="4"/>
  </r>
  <r>
    <s v="ORD0038"/>
    <x v="33"/>
    <s v="09-Jun-2025"/>
    <s v="Electronics"/>
    <s v="Power Bank"/>
    <n v="10"/>
    <n v="16618"/>
    <n v="166180"/>
    <s v="Net Banking"/>
    <s v="Pune"/>
    <n v="1"/>
    <n v="3"/>
  </r>
  <r>
    <s v="ORD0039"/>
    <x v="34"/>
    <s v="27-Mar-2025"/>
    <s v="Fashion"/>
    <s v="Shoes"/>
    <n v="3"/>
    <n v="28130"/>
    <n v="84390"/>
    <s v="UPI"/>
    <s v="Surat"/>
    <n v="1"/>
    <n v="3"/>
  </r>
  <r>
    <s v="ORD0040"/>
    <x v="35"/>
    <s v="01-Jun-2025"/>
    <s v="Fashion"/>
    <s v="Jacket"/>
    <n v="10"/>
    <n v="8395"/>
    <n v="83950"/>
    <s v="Card"/>
    <s v="Pune"/>
    <n v="4"/>
    <n v="5"/>
  </r>
  <r>
    <s v="ORD0041"/>
    <x v="36"/>
    <s v="29-Jun-2025"/>
    <s v="Fashion"/>
    <s v="Jacket"/>
    <n v="7"/>
    <n v="14496"/>
    <n v="101472"/>
    <s v="UPI"/>
    <s v="Mumbai"/>
    <n v="1"/>
    <n v="2"/>
  </r>
  <r>
    <s v="ORD0042"/>
    <x v="26"/>
    <s v="03-Mar-2025"/>
    <s v="Fashion"/>
    <s v="Shoes"/>
    <n v="7"/>
    <n v="22211"/>
    <n v="155477"/>
    <s v="Wallet"/>
    <s v="Hyderabad"/>
    <n v="1"/>
    <n v="3"/>
  </r>
  <r>
    <s v="ORD0043"/>
    <x v="37"/>
    <s v="24-Mar-2025"/>
    <s v="Fashion"/>
    <s v="Shoes"/>
    <n v="2"/>
    <n v="11900"/>
    <n v="23800"/>
    <s v="Card"/>
    <s v="Nagpur"/>
    <n v="4"/>
    <n v="6"/>
  </r>
  <r>
    <s v="ORD0044"/>
    <x v="5"/>
    <s v="27-Jan-2025"/>
    <s v="Fashion"/>
    <s v="T-Shirt"/>
    <n v="6"/>
    <n v="19934"/>
    <n v="119604"/>
    <s v="Net Banking"/>
    <s v="Hyderabad"/>
    <n v="4"/>
    <n v="3"/>
  </r>
  <r>
    <s v="ORD0045"/>
    <x v="38"/>
    <s v="05-Apr-2025"/>
    <s v="Electronics"/>
    <s v="Mouse"/>
    <n v="3"/>
    <n v="13819"/>
    <n v="41457"/>
    <s v="Cash"/>
    <s v="Nagpur"/>
    <n v="4"/>
    <n v="3"/>
  </r>
  <r>
    <s v="ORD0046"/>
    <x v="1"/>
    <s v="20-Jun-2025"/>
    <s v="Fashion"/>
    <s v="Shoes"/>
    <n v="3"/>
    <n v="8697"/>
    <n v="26091"/>
    <s v="UPI"/>
    <s v="Nagpur"/>
    <n v="4"/>
    <n v="7"/>
  </r>
  <r>
    <s v="ORD0047"/>
    <x v="15"/>
    <s v="22-Mar-2025"/>
    <s v="Home"/>
    <s v="Lamp"/>
    <n v="2"/>
    <n v="1038"/>
    <n v="2076"/>
    <s v="UPI"/>
    <s v="Indore"/>
    <n v="2"/>
    <n v="5"/>
  </r>
  <r>
    <s v="ORD0048"/>
    <x v="39"/>
    <s v="07-Jun-2025"/>
    <s v="Home"/>
    <s v="Bedsheet"/>
    <n v="7"/>
    <n v="11648"/>
    <n v="81536"/>
    <s v="Net Banking"/>
    <s v="Pune"/>
    <n v="2"/>
    <n v="4"/>
  </r>
  <r>
    <s v="ORD0049"/>
    <x v="40"/>
    <s v="03-Mar-2025"/>
    <s v="Beauty"/>
    <s v="Face Wash"/>
    <n v="7"/>
    <n v="4843"/>
    <n v="33901"/>
    <s v="UPI"/>
    <s v="Surat"/>
    <n v="4"/>
    <n v="1"/>
  </r>
  <r>
    <s v="ORD0050"/>
    <x v="41"/>
    <s v="17-Feb-2025"/>
    <s v="Beauty"/>
    <s v="Perfume"/>
    <n v="10"/>
    <n v="26881"/>
    <n v="268810"/>
    <s v="UPI"/>
    <s v="Nagpur"/>
    <n v="5"/>
    <n v="1"/>
  </r>
  <r>
    <s v="ORD0051"/>
    <x v="4"/>
    <s v="21-Jan-2025"/>
    <s v="Fashion"/>
    <s v="Jacket"/>
    <n v="9"/>
    <n v="26494"/>
    <n v="238446"/>
    <s v="UPI"/>
    <s v="Surat"/>
    <n v="3"/>
    <n v="4"/>
  </r>
  <r>
    <s v="ORD0052"/>
    <x v="42"/>
    <s v="18-Jun-2025"/>
    <s v="Beauty"/>
    <s v="Cream"/>
    <n v="3"/>
    <n v="14003"/>
    <n v="42009"/>
    <s v="Net Banking"/>
    <s v="Jaipur"/>
    <n v="5"/>
    <n v="5"/>
  </r>
  <r>
    <s v="ORD0053"/>
    <x v="43"/>
    <s v="21-Apr-2025"/>
    <s v="Home"/>
    <s v="Bedsheet"/>
    <n v="8"/>
    <n v="28812"/>
    <n v="230496"/>
    <s v="Net Banking"/>
    <s v="Indore"/>
    <n v="5"/>
    <n v="2"/>
  </r>
  <r>
    <s v="ORD0054"/>
    <x v="44"/>
    <s v="17-Mar-2025"/>
    <s v="Beauty"/>
    <s v="Perfume"/>
    <n v="7"/>
    <n v="4809"/>
    <n v="33663"/>
    <s v="Card"/>
    <s v="Mumbai"/>
    <n v="2"/>
    <n v="4"/>
  </r>
  <r>
    <s v="ORD0055"/>
    <x v="7"/>
    <s v="26-Jun-2025"/>
    <s v="Fashion"/>
    <s v="T-Shirt"/>
    <n v="1"/>
    <n v="28957"/>
    <n v="28957"/>
    <s v="UPI"/>
    <s v="Hyderabad"/>
    <n v="4"/>
    <n v="4"/>
  </r>
  <r>
    <s v="ORD0056"/>
    <x v="45"/>
    <s v="04-May-2025"/>
    <s v="Home"/>
    <s v="Lamp"/>
    <n v="5"/>
    <n v="18215"/>
    <n v="91075"/>
    <s v="UPI"/>
    <s v="Jaipur"/>
    <n v="1"/>
    <n v="4"/>
  </r>
  <r>
    <s v="ORD0057"/>
    <x v="46"/>
    <s v="14-Mar-2025"/>
    <s v="Fashion"/>
    <s v="Jacket"/>
    <n v="9"/>
    <n v="779"/>
    <n v="7011"/>
    <s v="Card"/>
    <s v="Nagpur"/>
    <n v="5"/>
    <n v="3"/>
  </r>
  <r>
    <s v="ORD0058"/>
    <x v="14"/>
    <s v="12-May-2025"/>
    <s v="Grocery"/>
    <s v="Rice"/>
    <n v="7"/>
    <n v="25720"/>
    <n v="180040"/>
    <s v="Wallet"/>
    <s v="Nagpur"/>
    <n v="1"/>
    <n v="3"/>
  </r>
  <r>
    <s v="ORD0059"/>
    <x v="47"/>
    <s v="06-Jun-2025"/>
    <s v="Grocery"/>
    <s v="Tea"/>
    <n v="9"/>
    <n v="25254"/>
    <n v="227286"/>
    <s v="Card"/>
    <s v="Nagpur"/>
    <n v="3"/>
    <n v="3"/>
  </r>
  <r>
    <s v="ORD0060"/>
    <x v="48"/>
    <s v="15-Jun-2025"/>
    <s v="Fashion"/>
    <s v="T-Shirt"/>
    <n v="10"/>
    <n v="17840"/>
    <n v="178400"/>
    <s v="Card"/>
    <s v="Delhi"/>
    <n v="2"/>
    <n v="2"/>
  </r>
  <r>
    <s v="ORD0061"/>
    <x v="19"/>
    <s v="12-Feb-2025"/>
    <s v="Beauty"/>
    <s v="Perfume"/>
    <n v="2"/>
    <n v="9176"/>
    <n v="18352"/>
    <s v="Wallet"/>
    <s v="Ahmedabad"/>
    <n v="4"/>
    <n v="5"/>
  </r>
  <r>
    <s v="ORD0062"/>
    <x v="49"/>
    <s v="09-Feb-2025"/>
    <s v="Fashion"/>
    <s v="Jeans"/>
    <n v="8"/>
    <n v="15890"/>
    <n v="127120"/>
    <s v="Card"/>
    <s v="Bangalore"/>
    <n v="4"/>
    <n v="2"/>
  </r>
  <r>
    <s v="ORD0063"/>
    <x v="50"/>
    <s v="01-Jun-2025"/>
    <s v="Grocery"/>
    <s v="Oil"/>
    <n v="9"/>
    <n v="24796"/>
    <n v="223164"/>
    <s v="UPI"/>
    <s v="Mumbai"/>
    <n v="2"/>
    <n v="2"/>
  </r>
  <r>
    <s v="ORD0064"/>
    <x v="8"/>
    <s v="18-Mar-2025"/>
    <s v="Fashion"/>
    <s v="Shoes"/>
    <n v="7"/>
    <n v="1452"/>
    <n v="10164"/>
    <s v="Card"/>
    <s v="Surat"/>
    <n v="2"/>
    <n v="3"/>
  </r>
  <r>
    <s v="ORD0065"/>
    <x v="1"/>
    <s v="18-Jan-2025"/>
    <s v="Beauty"/>
    <s v="Shampoo"/>
    <n v="5"/>
    <n v="14057"/>
    <n v="70285"/>
    <s v="Card"/>
    <s v="Mumbai"/>
    <n v="4"/>
    <n v="7"/>
  </r>
  <r>
    <s v="ORD0066"/>
    <x v="32"/>
    <s v="07-Feb-2025"/>
    <s v="Electronics"/>
    <s v="Keyboard"/>
    <n v="7"/>
    <n v="4415"/>
    <n v="30905"/>
    <s v="UPI"/>
    <s v="Pune"/>
    <n v="5"/>
    <n v="4"/>
  </r>
  <r>
    <s v="ORD0067"/>
    <x v="23"/>
    <s v="29-Jan-2025"/>
    <s v="Electronics"/>
    <s v="Speaker"/>
    <n v="7"/>
    <n v="4264"/>
    <n v="29848"/>
    <s v="Net Banking"/>
    <s v="Indore"/>
    <n v="4"/>
    <n v="4"/>
  </r>
  <r>
    <s v="ORD0068"/>
    <x v="24"/>
    <s v="09-Jun-2025"/>
    <s v="Fashion"/>
    <s v="Shoes"/>
    <n v="4"/>
    <n v="28223"/>
    <n v="112892"/>
    <s v="Net Banking"/>
    <s v="Jaipur"/>
    <n v="3"/>
    <n v="2"/>
  </r>
  <r>
    <s v="ORD0069"/>
    <x v="25"/>
    <s v="25-Jun-2025"/>
    <s v="Electronics"/>
    <s v="Power Bank"/>
    <n v="1"/>
    <n v="1451"/>
    <n v="1451"/>
    <s v="UPI"/>
    <s v="Ahmedabad"/>
    <n v="4"/>
    <n v="4"/>
  </r>
  <r>
    <s v="ORD0070"/>
    <x v="51"/>
    <s v="23-Jun-2025"/>
    <s v="Fashion"/>
    <s v="Jeans"/>
    <n v="10"/>
    <n v="20193"/>
    <n v="201930"/>
    <s v="UPI"/>
    <s v="Surat"/>
    <n v="3"/>
    <n v="2"/>
  </r>
  <r>
    <s v="ORD0071"/>
    <x v="52"/>
    <s v="09-Jan-2025"/>
    <s v="Grocery"/>
    <s v="Tea"/>
    <n v="10"/>
    <n v="12782"/>
    <n v="127820"/>
    <s v="Net Banking"/>
    <s v="Hyderabad"/>
    <n v="5"/>
    <n v="3"/>
  </r>
  <r>
    <s v="ORD0072"/>
    <x v="44"/>
    <s v="15-May-2025"/>
    <s v="Home"/>
    <s v="Lamp"/>
    <n v="4"/>
    <n v="1844"/>
    <n v="7376"/>
    <s v="Cash"/>
    <s v="Bangalore"/>
    <n v="5"/>
    <n v="4"/>
  </r>
  <r>
    <s v="ORD0073"/>
    <x v="53"/>
    <s v="01-Jan-2025"/>
    <s v="Electronics"/>
    <s v="Mouse"/>
    <n v="1"/>
    <n v="24498"/>
    <n v="24498"/>
    <s v="Net Banking"/>
    <s v="Hyderabad"/>
    <n v="2"/>
    <n v="4"/>
  </r>
  <r>
    <s v="ORD0074"/>
    <x v="19"/>
    <s v="30-Jan-2025"/>
    <s v="Electronics"/>
    <s v="Power Bank"/>
    <n v="8"/>
    <n v="18696"/>
    <n v="149568"/>
    <s v="Wallet"/>
    <s v="Delhi"/>
    <n v="4"/>
    <n v="5"/>
  </r>
  <r>
    <s v="ORD0075"/>
    <x v="19"/>
    <s v="20-Jan-2025"/>
    <s v="Fashion"/>
    <s v="Jacket"/>
    <n v="9"/>
    <n v="24572"/>
    <n v="221148"/>
    <s v="Wallet"/>
    <s v="Pune"/>
    <n v="4"/>
    <n v="5"/>
  </r>
  <r>
    <s v="ORD0076"/>
    <x v="46"/>
    <s v="16-Mar-2025"/>
    <s v="Beauty"/>
    <s v="Face Wash"/>
    <n v="6"/>
    <n v="18770"/>
    <n v="112620"/>
    <s v="Card"/>
    <s v="Ahmedabad"/>
    <n v="4"/>
    <n v="3"/>
  </r>
  <r>
    <s v="ORD0077"/>
    <x v="28"/>
    <s v="28-Jan-2025"/>
    <s v="Beauty"/>
    <s v="Shampoo"/>
    <n v="7"/>
    <n v="1030"/>
    <n v="7210"/>
    <s v="Card"/>
    <s v="Indore"/>
    <n v="1"/>
    <n v="3"/>
  </r>
  <r>
    <s v="ORD0078"/>
    <x v="54"/>
    <s v="24-Apr-2025"/>
    <s v="Electronics"/>
    <s v="Mouse"/>
    <n v="4"/>
    <n v="2206"/>
    <n v="8824"/>
    <s v="Net Banking"/>
    <s v="Delhi"/>
    <n v="4"/>
    <n v="2"/>
  </r>
  <r>
    <s v="ORD0079"/>
    <x v="39"/>
    <s v="19-Feb-2025"/>
    <s v="Electronics"/>
    <s v="Speaker"/>
    <n v="6"/>
    <n v="13040"/>
    <n v="78240"/>
    <s v="Net Banking"/>
    <s v="Delhi"/>
    <n v="3"/>
    <n v="4"/>
  </r>
  <r>
    <s v="ORD0080"/>
    <x v="45"/>
    <s v="24-May-2025"/>
    <s v="Grocery"/>
    <s v="Sugar"/>
    <n v="4"/>
    <n v="17932"/>
    <n v="71728"/>
    <s v="Net Banking"/>
    <s v="Jaipur"/>
    <n v="2"/>
    <n v="4"/>
  </r>
  <r>
    <s v="ORD0081"/>
    <x v="29"/>
    <s v="11-Feb-2025"/>
    <s v="Grocery"/>
    <s v="Sugar"/>
    <n v="3"/>
    <n v="23864"/>
    <n v="71592"/>
    <s v="Wallet"/>
    <s v="Hyderabad"/>
    <n v="4"/>
    <n v="5"/>
  </r>
  <r>
    <s v="ORD0082"/>
    <x v="55"/>
    <s v="22-May-2025"/>
    <s v="Home"/>
    <s v="Cookware"/>
    <n v="7"/>
    <n v="24233"/>
    <n v="169631"/>
    <s v="Cash"/>
    <s v="Bangalore"/>
    <n v="2"/>
    <n v="6"/>
  </r>
  <r>
    <s v="ORD0083"/>
    <x v="30"/>
    <s v="10-Feb-2025"/>
    <s v="Electronics"/>
    <s v="Keyboard"/>
    <n v="10"/>
    <n v="27060"/>
    <n v="270600"/>
    <s v="Wallet"/>
    <s v="Bangalore"/>
    <n v="5"/>
    <n v="3"/>
  </r>
  <r>
    <s v="ORD0084"/>
    <x v="17"/>
    <s v="22-Jan-2025"/>
    <s v="Fashion"/>
    <s v="T-Shirt"/>
    <n v="5"/>
    <n v="19068"/>
    <n v="95340"/>
    <s v="UPI"/>
    <s v="Ahmedabad"/>
    <n v="3"/>
    <n v="6"/>
  </r>
  <r>
    <s v="ORD0085"/>
    <x v="56"/>
    <s v="17-Feb-2025"/>
    <s v="Fashion"/>
    <s v="Jacket"/>
    <n v="7"/>
    <n v="9428"/>
    <n v="65996"/>
    <s v="Card"/>
    <s v="Pune"/>
    <n v="3"/>
    <n v="1"/>
  </r>
  <r>
    <s v="ORD0086"/>
    <x v="3"/>
    <s v="31-Mar-2025"/>
    <s v="Home"/>
    <s v="Chair"/>
    <n v="4"/>
    <n v="29354"/>
    <n v="117416"/>
    <s v="Cash"/>
    <s v="Nagpur"/>
    <n v="5"/>
    <n v="5"/>
  </r>
  <r>
    <s v="ORD0087"/>
    <x v="38"/>
    <s v="08-Jun-2025"/>
    <s v="Fashion"/>
    <s v="Shoes"/>
    <n v="1"/>
    <n v="4607"/>
    <n v="4607"/>
    <s v="Net Banking"/>
    <s v="Nagpur"/>
    <n v="2"/>
    <n v="3"/>
  </r>
  <r>
    <s v="ORD0088"/>
    <x v="23"/>
    <s v="24-Mar-2025"/>
    <s v="Electronics"/>
    <s v="Power Bank"/>
    <n v="1"/>
    <n v="25205"/>
    <n v="25205"/>
    <s v="UPI"/>
    <s v="Ahmedabad"/>
    <n v="5"/>
    <n v="4"/>
  </r>
  <r>
    <s v="ORD0089"/>
    <x v="17"/>
    <s v="27-May-2025"/>
    <s v="Beauty"/>
    <s v="Shampoo"/>
    <n v="5"/>
    <n v="20803"/>
    <n v="104015"/>
    <s v="Cash"/>
    <s v="Surat"/>
    <n v="5"/>
    <n v="6"/>
  </r>
  <r>
    <s v="ORD0090"/>
    <x v="57"/>
    <s v="04-Mar-2025"/>
    <s v="Grocery"/>
    <s v="Rice"/>
    <n v="9"/>
    <n v="18433"/>
    <n v="165897"/>
    <s v="Wallet"/>
    <s v="Nagpur"/>
    <n v="1"/>
    <n v="3"/>
  </r>
  <r>
    <s v="ORD0091"/>
    <x v="58"/>
    <s v="02-May-2025"/>
    <s v="Fashion"/>
    <s v="T-Shirt"/>
    <n v="10"/>
    <n v="9598"/>
    <n v="95980"/>
    <s v="Wallet"/>
    <s v="Jaipur"/>
    <n v="1"/>
    <n v="3"/>
  </r>
  <r>
    <s v="ORD0092"/>
    <x v="59"/>
    <s v="20-Apr-2025"/>
    <s v="Home"/>
    <s v="Lamp"/>
    <n v="6"/>
    <n v="13833"/>
    <n v="82998"/>
    <s v="Net Banking"/>
    <s v="Hyderabad"/>
    <n v="5"/>
    <n v="4"/>
  </r>
  <r>
    <s v="ORD0093"/>
    <x v="53"/>
    <s v="21-Apr-2025"/>
    <s v="Fashion"/>
    <s v="Shoes"/>
    <n v="5"/>
    <n v="14413"/>
    <n v="72065"/>
    <s v="Net Banking"/>
    <s v="Delhi"/>
    <n v="3"/>
    <n v="4"/>
  </r>
  <r>
    <s v="ORD0094"/>
    <x v="22"/>
    <s v="29-Apr-2025"/>
    <s v="Electronics"/>
    <s v="Speaker"/>
    <n v="1"/>
    <n v="25952"/>
    <n v="25952"/>
    <s v="Cash"/>
    <s v="Ahmedabad"/>
    <n v="2"/>
    <n v="6"/>
  </r>
  <r>
    <s v="ORD0095"/>
    <x v="60"/>
    <s v="23-Feb-2025"/>
    <s v="Beauty"/>
    <s v="Perfume"/>
    <n v="3"/>
    <n v="1243"/>
    <n v="3729"/>
    <s v="Cash"/>
    <s v="Bangalore"/>
    <n v="3"/>
    <n v="3"/>
  </r>
  <r>
    <s v="ORD0096"/>
    <x v="20"/>
    <s v="25-Feb-2025"/>
    <s v="Grocery"/>
    <s v="Rice"/>
    <n v="5"/>
    <n v="17516"/>
    <n v="87580"/>
    <s v="Net Banking"/>
    <s v="Mumbai"/>
    <n v="5"/>
    <n v="3"/>
  </r>
  <r>
    <s v="ORD0097"/>
    <x v="59"/>
    <s v="21-Mar-2025"/>
    <s v="Electronics"/>
    <s v="Speaker"/>
    <n v="8"/>
    <n v="279"/>
    <n v="2232"/>
    <s v="Wallet"/>
    <s v="Indore"/>
    <n v="1"/>
    <n v="4"/>
  </r>
  <r>
    <s v="ORD0098"/>
    <x v="12"/>
    <s v="31-May-2025"/>
    <s v="Beauty"/>
    <s v="Shampoo"/>
    <n v="8"/>
    <n v="25760"/>
    <n v="206080"/>
    <s v="Wallet"/>
    <s v="Delhi"/>
    <n v="4"/>
    <n v="5"/>
  </r>
  <r>
    <s v="ORD0099"/>
    <x v="61"/>
    <s v="19-Feb-2025"/>
    <s v="Grocery"/>
    <s v="Oil"/>
    <n v="6"/>
    <n v="229"/>
    <n v="1374"/>
    <s v="Cash"/>
    <s v="Surat"/>
    <n v="2"/>
    <n v="1"/>
  </r>
  <r>
    <s v="ORD0100"/>
    <x v="21"/>
    <s v="28-Mar-2025"/>
    <s v="Home"/>
    <s v="Cookware"/>
    <n v="7"/>
    <n v="28224"/>
    <n v="197568"/>
    <s v="Wallet"/>
    <s v="Jaipur"/>
    <n v="3"/>
    <n v="2"/>
  </r>
  <r>
    <s v="ORD0101"/>
    <x v="22"/>
    <s v="27-Mar-2025"/>
    <s v="Home"/>
    <s v="Bedsheet"/>
    <n v="8"/>
    <n v="7376"/>
    <n v="59008"/>
    <s v="Card"/>
    <s v="Mumbai"/>
    <n v="3"/>
    <n v="6"/>
  </r>
  <r>
    <s v="ORD0102"/>
    <x v="33"/>
    <s v="01-Jun-2025"/>
    <s v="Fashion"/>
    <s v="Jeans"/>
    <n v="8"/>
    <n v="15405"/>
    <n v="123240"/>
    <s v="Wallet"/>
    <s v="Mumbai"/>
    <n v="5"/>
    <n v="3"/>
  </r>
  <r>
    <s v="ORD0103"/>
    <x v="62"/>
    <s v="15-Feb-2025"/>
    <s v="Grocery"/>
    <s v="Oil"/>
    <n v="4"/>
    <n v="796"/>
    <n v="3184"/>
    <s v="Card"/>
    <s v="Nagpur"/>
    <n v="5"/>
    <n v="3"/>
  </r>
  <r>
    <s v="ORD0104"/>
    <x v="63"/>
    <s v="26-May-2025"/>
    <s v="Home"/>
    <s v="Bedsheet"/>
    <n v="4"/>
    <n v="22366"/>
    <n v="89464"/>
    <s v="Card"/>
    <s v="Surat"/>
    <n v="2"/>
    <n v="4"/>
  </r>
  <r>
    <s v="ORD0105"/>
    <x v="55"/>
    <s v="16-May-2025"/>
    <s v="Home"/>
    <s v="Bedsheet"/>
    <n v="5"/>
    <n v="13927"/>
    <n v="69635"/>
    <s v="UPI"/>
    <s v="Jaipur"/>
    <n v="1"/>
    <n v="6"/>
  </r>
  <r>
    <s v="ORD0106"/>
    <x v="50"/>
    <s v="02-May-2025"/>
    <s v="Home"/>
    <s v="Cookware"/>
    <n v="10"/>
    <n v="26215"/>
    <n v="262150"/>
    <s v="Wallet"/>
    <s v="Mumbai"/>
    <n v="5"/>
    <n v="2"/>
  </r>
  <r>
    <s v="ORD0107"/>
    <x v="64"/>
    <s v="29-Jun-2025"/>
    <s v="Grocery"/>
    <s v="Sugar"/>
    <n v="8"/>
    <n v="24675"/>
    <n v="197400"/>
    <s v="Card"/>
    <s v="Delhi"/>
    <n v="3"/>
    <n v="2"/>
  </r>
  <r>
    <s v="ORD0108"/>
    <x v="9"/>
    <s v="13-Jan-2025"/>
    <s v="Fashion"/>
    <s v="Jacket"/>
    <n v="8"/>
    <n v="4912"/>
    <n v="39296"/>
    <s v="UPI"/>
    <s v="Bangalore"/>
    <n v="2"/>
    <n v="3"/>
  </r>
  <r>
    <s v="ORD0109"/>
    <x v="37"/>
    <s v="29-Mar-2025"/>
    <s v="Electronics"/>
    <s v="Mouse"/>
    <n v="4"/>
    <n v="23182"/>
    <n v="92728"/>
    <s v="Net Banking"/>
    <s v="Nagpur"/>
    <n v="1"/>
    <n v="6"/>
  </r>
  <r>
    <s v="ORD0110"/>
    <x v="31"/>
    <s v="31-Jan-2025"/>
    <s v="Fashion"/>
    <s v="Jacket"/>
    <n v="6"/>
    <n v="10278"/>
    <n v="61668"/>
    <s v="Net Banking"/>
    <s v="Surat"/>
    <n v="3"/>
    <n v="3"/>
  </r>
  <r>
    <s v="ORD0111"/>
    <x v="65"/>
    <s v="09-Apr-2025"/>
    <s v="Home"/>
    <s v="Chair"/>
    <n v="5"/>
    <n v="6672"/>
    <n v="33360"/>
    <s v="UPI"/>
    <s v="Nagpur"/>
    <n v="5"/>
    <n v="4"/>
  </r>
  <r>
    <s v="ORD0112"/>
    <x v="52"/>
    <s v="13-Jan-2025"/>
    <s v="Grocery"/>
    <s v="Rice"/>
    <n v="6"/>
    <n v="6928"/>
    <n v="41568"/>
    <s v="Wallet"/>
    <s v="Jaipur"/>
    <n v="4"/>
    <n v="3"/>
  </r>
  <r>
    <s v="ORD0113"/>
    <x v="47"/>
    <s v="08-May-2025"/>
    <s v="Electronics"/>
    <s v="Keyboard"/>
    <n v="9"/>
    <n v="10761"/>
    <n v="96849"/>
    <s v="Wallet"/>
    <s v="Mumbai"/>
    <n v="2"/>
    <n v="3"/>
  </r>
  <r>
    <s v="ORD0114"/>
    <x v="66"/>
    <s v="27-Feb-2025"/>
    <s v="Electronics"/>
    <s v="Headphones"/>
    <n v="1"/>
    <n v="13731"/>
    <n v="13731"/>
    <s v="Wallet"/>
    <s v="Hyderabad"/>
    <n v="4"/>
    <n v="1"/>
  </r>
  <r>
    <s v="ORD0115"/>
    <x v="22"/>
    <s v="10-Apr-2025"/>
    <s v="Grocery"/>
    <s v="Oil"/>
    <n v="8"/>
    <n v="14430"/>
    <n v="115440"/>
    <s v="Wallet"/>
    <s v="Pune"/>
    <n v="4"/>
    <n v="6"/>
  </r>
  <r>
    <s v="ORD0116"/>
    <x v="7"/>
    <s v="05-Jan-2025"/>
    <s v="Fashion"/>
    <s v="Jeans"/>
    <n v="7"/>
    <n v="2647"/>
    <n v="18529"/>
    <s v="Wallet"/>
    <s v="Delhi"/>
    <n v="3"/>
    <n v="4"/>
  </r>
  <r>
    <s v="ORD0117"/>
    <x v="12"/>
    <s v="24-Jun-2025"/>
    <s v="Home"/>
    <s v="Cookware"/>
    <n v="1"/>
    <n v="5555"/>
    <n v="5555"/>
    <s v="Wallet"/>
    <s v="Ahmedabad"/>
    <n v="4"/>
    <n v="5"/>
  </r>
  <r>
    <s v="ORD0118"/>
    <x v="60"/>
    <s v="18-Jun-2025"/>
    <s v="Grocery"/>
    <s v="Rice"/>
    <n v="8"/>
    <n v="1592"/>
    <n v="12736"/>
    <s v="Net Banking"/>
    <s v="Indore"/>
    <n v="2"/>
    <n v="3"/>
  </r>
  <r>
    <s v="ORD0119"/>
    <x v="49"/>
    <s v="24-Apr-2025"/>
    <s v="Fashion"/>
    <s v="T-Shirt"/>
    <n v="2"/>
    <n v="1703"/>
    <n v="3406"/>
    <s v="Card"/>
    <s v="Hyderabad"/>
    <n v="2"/>
    <n v="2"/>
  </r>
  <r>
    <s v="ORD0120"/>
    <x v="55"/>
    <s v="14-Jan-2025"/>
    <s v="Grocery"/>
    <s v="Tea"/>
    <n v="2"/>
    <n v="21309"/>
    <n v="42618"/>
    <s v="Card"/>
    <s v="Mumbai"/>
    <n v="5"/>
    <n v="6"/>
  </r>
  <r>
    <s v="ORD0121"/>
    <x v="26"/>
    <s v="30-May-2025"/>
    <s v="Fashion"/>
    <s v="Jacket"/>
    <n v="2"/>
    <n v="24509"/>
    <n v="49018"/>
    <s v="UPI"/>
    <s v="Indore"/>
    <n v="5"/>
    <n v="3"/>
  </r>
  <r>
    <s v="ORD0122"/>
    <x v="12"/>
    <s v="11-Apr-2025"/>
    <s v="Electronics"/>
    <s v="Power Bank"/>
    <n v="2"/>
    <n v="3939"/>
    <n v="7878"/>
    <s v="Cash"/>
    <s v="Bangalore"/>
    <n v="1"/>
    <n v="5"/>
  </r>
  <r>
    <s v="ORD0123"/>
    <x v="27"/>
    <s v="10-Mar-2025"/>
    <s v="Electronics"/>
    <s v="Headphones"/>
    <n v="10"/>
    <n v="17079"/>
    <n v="170790"/>
    <s v="Cash"/>
    <s v="Bangalore"/>
    <n v="1"/>
    <n v="3"/>
  </r>
  <r>
    <s v="ORD0124"/>
    <x v="37"/>
    <s v="13-Mar-2025"/>
    <s v="Grocery"/>
    <s v="Oil"/>
    <n v="3"/>
    <n v="477"/>
    <n v="1431"/>
    <s v="Card"/>
    <s v="Hyderabad"/>
    <n v="5"/>
    <n v="6"/>
  </r>
  <r>
    <s v="ORD0125"/>
    <x v="1"/>
    <s v="09-Mar-2025"/>
    <s v="Grocery"/>
    <s v="Oil"/>
    <n v="5"/>
    <n v="5620"/>
    <n v="28100"/>
    <s v="Net Banking"/>
    <s v="Pune"/>
    <n v="3"/>
    <n v="7"/>
  </r>
  <r>
    <s v="ORD0126"/>
    <x v="23"/>
    <s v="22-Apr-2025"/>
    <s v="Fashion"/>
    <s v="Jeans"/>
    <n v="4"/>
    <n v="2560"/>
    <n v="10240"/>
    <s v="Card"/>
    <s v="Nagpur"/>
    <n v="4"/>
    <n v="4"/>
  </r>
  <r>
    <s v="ORD0127"/>
    <x v="37"/>
    <s v="17-May-2025"/>
    <s v="Fashion"/>
    <s v="Jacket"/>
    <n v="10"/>
    <n v="15699"/>
    <n v="156990"/>
    <s v="Cash"/>
    <s v="Ahmedabad"/>
    <n v="4"/>
    <n v="6"/>
  </r>
  <r>
    <s v="ORD0128"/>
    <x v="67"/>
    <s v="01-Apr-2025"/>
    <s v="Electronics"/>
    <s v="Headphones"/>
    <n v="7"/>
    <n v="20086"/>
    <n v="140602"/>
    <s v="UPI"/>
    <s v="Nagpur"/>
    <n v="5"/>
    <n v="3"/>
  </r>
  <r>
    <s v="ORD0129"/>
    <x v="59"/>
    <s v="25-Jun-2025"/>
    <s v="Home"/>
    <s v="Chair"/>
    <n v="3"/>
    <n v="28218"/>
    <n v="84654"/>
    <s v="Net Banking"/>
    <s v="Bangalore"/>
    <n v="4"/>
    <n v="4"/>
  </r>
  <r>
    <s v="ORD0130"/>
    <x v="29"/>
    <s v="16-Jan-2025"/>
    <s v="Grocery"/>
    <s v="Sugar"/>
    <n v="6"/>
    <n v="1783"/>
    <n v="10698"/>
    <s v="UPI"/>
    <s v="Delhi"/>
    <n v="4"/>
    <n v="5"/>
  </r>
  <r>
    <s v="ORD0131"/>
    <x v="68"/>
    <s v="21-Apr-2025"/>
    <s v="Beauty"/>
    <s v="Perfume"/>
    <n v="10"/>
    <n v="11358"/>
    <n v="113580"/>
    <s v="Card"/>
    <s v="Hyderabad"/>
    <n v="1"/>
    <n v="2"/>
  </r>
  <r>
    <s v="ORD0132"/>
    <x v="13"/>
    <s v="16-Feb-2025"/>
    <s v="Grocery"/>
    <s v="Sugar"/>
    <n v="9"/>
    <n v="19816"/>
    <n v="178344"/>
    <s v="Cash"/>
    <s v="Nagpur"/>
    <n v="2"/>
    <n v="3"/>
  </r>
  <r>
    <s v="ORD0133"/>
    <x v="69"/>
    <s v="20-Apr-2025"/>
    <s v="Grocery"/>
    <s v="Rice"/>
    <n v="9"/>
    <n v="19613"/>
    <n v="176517"/>
    <s v="Card"/>
    <s v="Nagpur"/>
    <n v="3"/>
    <n v="2"/>
  </r>
  <r>
    <s v="ORD0134"/>
    <x v="70"/>
    <s v="22-Feb-2025"/>
    <s v="Home"/>
    <s v="Chair"/>
    <n v="9"/>
    <n v="10193"/>
    <n v="91737"/>
    <s v="Card"/>
    <s v="Ahmedabad"/>
    <n v="5"/>
    <n v="2"/>
  </r>
  <r>
    <s v="ORD0135"/>
    <x v="33"/>
    <s v="28-Jun-2025"/>
    <s v="Fashion"/>
    <s v="T-Shirt"/>
    <n v="1"/>
    <n v="3320"/>
    <n v="3320"/>
    <s v="Cash"/>
    <s v="Indore"/>
    <n v="3"/>
    <n v="3"/>
  </r>
  <r>
    <s v="ORD0136"/>
    <x v="37"/>
    <s v="07-Mar-2025"/>
    <s v="Beauty"/>
    <s v="Perfume"/>
    <n v="7"/>
    <n v="18941"/>
    <n v="132587"/>
    <s v="Wallet"/>
    <s v="Indore"/>
    <n v="5"/>
    <n v="6"/>
  </r>
  <r>
    <s v="ORD0137"/>
    <x v="58"/>
    <s v="23-Apr-2025"/>
    <s v="Home"/>
    <s v="Chair"/>
    <n v="3"/>
    <n v="18424"/>
    <n v="55272"/>
    <s v="Cash"/>
    <s v="Hyderabad"/>
    <n v="3"/>
    <n v="3"/>
  </r>
  <r>
    <s v="ORD0138"/>
    <x v="71"/>
    <s v="31-Jan-2025"/>
    <s v="Home"/>
    <s v="Bedsheet"/>
    <n v="8"/>
    <n v="3319"/>
    <n v="26552"/>
    <s v="Cash"/>
    <s v="Ahmedabad"/>
    <n v="3"/>
    <n v="2"/>
  </r>
  <r>
    <s v="ORD0139"/>
    <x v="25"/>
    <s v="27-Apr-2025"/>
    <s v="Beauty"/>
    <s v="Face Wash"/>
    <n v="9"/>
    <n v="16794"/>
    <n v="151146"/>
    <s v="Wallet"/>
    <s v="Delhi"/>
    <n v="2"/>
    <n v="4"/>
  </r>
  <r>
    <s v="ORD0140"/>
    <x v="65"/>
    <s v="25-Jun-2025"/>
    <s v="Electronics"/>
    <s v="Speaker"/>
    <n v="2"/>
    <n v="27242"/>
    <n v="54484"/>
    <s v="Cash"/>
    <s v="Bangalore"/>
    <n v="1"/>
    <n v="4"/>
  </r>
  <r>
    <s v="ORD0141"/>
    <x v="57"/>
    <s v="20-May-2025"/>
    <s v="Home"/>
    <s v="Chair"/>
    <n v="10"/>
    <n v="1252"/>
    <n v="12520"/>
    <s v="UPI"/>
    <s v="Pune"/>
    <n v="1"/>
    <n v="3"/>
  </r>
  <r>
    <s v="ORD0142"/>
    <x v="29"/>
    <s v="19-Feb-2025"/>
    <s v="Fashion"/>
    <s v="T-Shirt"/>
    <n v="4"/>
    <n v="21956"/>
    <n v="87824"/>
    <s v="Cash"/>
    <s v="Indore"/>
    <n v="1"/>
    <n v="5"/>
  </r>
  <r>
    <s v="ORD0143"/>
    <x v="72"/>
    <s v="26-Jun-2025"/>
    <s v="Fashion"/>
    <s v="Shoes"/>
    <n v="2"/>
    <n v="11869"/>
    <n v="23738"/>
    <s v="Card"/>
    <s v="Indore"/>
    <n v="2"/>
    <n v="3"/>
  </r>
  <r>
    <s v="ORD0144"/>
    <x v="20"/>
    <s v="21-May-2025"/>
    <s v="Beauty"/>
    <s v="Cream"/>
    <n v="10"/>
    <n v="24242"/>
    <n v="242420"/>
    <s v="Wallet"/>
    <s v="Hyderabad"/>
    <n v="1"/>
    <n v="3"/>
  </r>
  <r>
    <s v="ORD0145"/>
    <x v="73"/>
    <s v="16-May-2025"/>
    <s v="Grocery"/>
    <s v="Tea"/>
    <n v="4"/>
    <n v="4121"/>
    <n v="16484"/>
    <s v="Cash"/>
    <s v="Delhi"/>
    <n v="5"/>
    <n v="2"/>
  </r>
  <r>
    <s v="ORD0146"/>
    <x v="15"/>
    <s v="25-Apr-2025"/>
    <s v="Beauty"/>
    <s v="Perfume"/>
    <n v="7"/>
    <n v="3535"/>
    <n v="24745"/>
    <s v="Cash"/>
    <s v="Hyderabad"/>
    <n v="1"/>
    <n v="5"/>
  </r>
  <r>
    <s v="ORD0147"/>
    <x v="74"/>
    <s v="27-Mar-2025"/>
    <s v="Grocery"/>
    <s v="Tea"/>
    <n v="2"/>
    <n v="22984"/>
    <n v="45968"/>
    <s v="Net Banking"/>
    <s v="Delhi"/>
    <n v="1"/>
    <n v="1"/>
  </r>
  <r>
    <s v="ORD0148"/>
    <x v="75"/>
    <s v="27-Jan-2025"/>
    <s v="Home"/>
    <s v="Lamp"/>
    <n v="7"/>
    <n v="24078"/>
    <n v="168546"/>
    <s v="UPI"/>
    <s v="Surat"/>
    <n v="1"/>
    <n v="2"/>
  </r>
  <r>
    <s v="ORD0149"/>
    <x v="65"/>
    <s v="02-Jun-2025"/>
    <s v="Home"/>
    <s v="Lamp"/>
    <n v="1"/>
    <n v="17504"/>
    <n v="17504"/>
    <s v="Net Banking"/>
    <s v="Mumbai"/>
    <n v="3"/>
    <n v="4"/>
  </r>
  <r>
    <s v="ORD0150"/>
    <x v="17"/>
    <s v="06-May-2025"/>
    <s v="Electronics"/>
    <s v="Mouse"/>
    <n v="9"/>
    <n v="8759"/>
    <n v="78831"/>
    <s v="UPI"/>
    <s v="Indore"/>
    <n v="4"/>
    <n v="6"/>
  </r>
  <r>
    <s v="ORD0151"/>
    <x v="35"/>
    <s v="16-Jan-2025"/>
    <s v="Home"/>
    <s v="Bedsheet"/>
    <n v="3"/>
    <n v="22423"/>
    <n v="67269"/>
    <s v="Cash"/>
    <s v="Mumbai"/>
    <n v="4"/>
    <n v="5"/>
  </r>
  <r>
    <s v="ORD0152"/>
    <x v="4"/>
    <s v="13-Mar-2025"/>
    <s v="Fashion"/>
    <s v="Jacket"/>
    <n v="8"/>
    <n v="398"/>
    <n v="3184"/>
    <s v="Wallet"/>
    <s v="Pune"/>
    <n v="1"/>
    <n v="4"/>
  </r>
  <r>
    <s v="ORD0153"/>
    <x v="76"/>
    <s v="08-Feb-2025"/>
    <s v="Home"/>
    <s v="Lamp"/>
    <n v="3"/>
    <n v="9588"/>
    <n v="28764"/>
    <s v="Card"/>
    <s v="Indore"/>
    <n v="2"/>
    <n v="4"/>
  </r>
  <r>
    <s v="ORD0154"/>
    <x v="27"/>
    <s v="11-Mar-2025"/>
    <s v="Electronics"/>
    <s v="Power Bank"/>
    <n v="1"/>
    <n v="19772"/>
    <n v="19772"/>
    <s v="UPI"/>
    <s v="Jaipur"/>
    <n v="3"/>
    <n v="3"/>
  </r>
  <r>
    <s v="ORD0155"/>
    <x v="77"/>
    <s v="11-Feb-2025"/>
    <s v="Electronics"/>
    <s v="Power Bank"/>
    <n v="2"/>
    <n v="5320"/>
    <n v="10640"/>
    <s v="Wallet"/>
    <s v="Mumbai"/>
    <n v="4"/>
    <n v="4"/>
  </r>
  <r>
    <s v="ORD0156"/>
    <x v="34"/>
    <s v="23-Jan-2025"/>
    <s v="Fashion"/>
    <s v="Shoes"/>
    <n v="8"/>
    <n v="1575"/>
    <n v="12600"/>
    <s v="Wallet"/>
    <s v="Ahmedabad"/>
    <n v="4"/>
    <n v="3"/>
  </r>
  <r>
    <s v="ORD0157"/>
    <x v="30"/>
    <s v="02-May-2025"/>
    <s v="Electronics"/>
    <s v="Speaker"/>
    <n v="4"/>
    <n v="24332"/>
    <n v="97328"/>
    <s v="UPI"/>
    <s v="Ahmedabad"/>
    <n v="5"/>
    <n v="3"/>
  </r>
  <r>
    <s v="ORD0158"/>
    <x v="9"/>
    <s v="03-Apr-2025"/>
    <s v="Home"/>
    <s v="Cookware"/>
    <n v="9"/>
    <n v="27454"/>
    <n v="247086"/>
    <s v="Wallet"/>
    <s v="Bangalore"/>
    <n v="1"/>
    <n v="3"/>
  </r>
  <r>
    <s v="ORD0159"/>
    <x v="51"/>
    <s v="09-Jun-2025"/>
    <s v="Electronics"/>
    <s v="Speaker"/>
    <n v="3"/>
    <n v="8866"/>
    <n v="26598"/>
    <s v="UPI"/>
    <s v="Jaipur"/>
    <n v="3"/>
    <n v="2"/>
  </r>
  <r>
    <s v="ORD0160"/>
    <x v="78"/>
    <s v="19-Mar-2025"/>
    <s v="Beauty"/>
    <s v="Face Wash"/>
    <n v="2"/>
    <n v="25341"/>
    <n v="50682"/>
    <s v="Cash"/>
    <s v="Surat"/>
    <n v="3"/>
    <n v="3"/>
  </r>
  <r>
    <s v="ORD0161"/>
    <x v="71"/>
    <s v="14-Jan-2025"/>
    <s v="Fashion"/>
    <s v="Shoes"/>
    <n v="6"/>
    <n v="2216"/>
    <n v="13296"/>
    <s v="Wallet"/>
    <s v="Bangalore"/>
    <n v="1"/>
    <n v="2"/>
  </r>
  <r>
    <s v="ORD0162"/>
    <x v="11"/>
    <s v="08-Mar-2025"/>
    <s v="Grocery"/>
    <s v="Oil"/>
    <n v="9"/>
    <n v="20164"/>
    <n v="181476"/>
    <s v="Card"/>
    <s v="Mumbai"/>
    <n v="4"/>
    <n v="6"/>
  </r>
  <r>
    <s v="ORD0163"/>
    <x v="77"/>
    <s v="28-Jun-2025"/>
    <s v="Beauty"/>
    <s v="Perfume"/>
    <n v="4"/>
    <n v="14403"/>
    <n v="57612"/>
    <s v="Cash"/>
    <s v="Indore"/>
    <n v="2"/>
    <n v="4"/>
  </r>
  <r>
    <s v="ORD0164"/>
    <x v="79"/>
    <s v="22-May-2025"/>
    <s v="Grocery"/>
    <s v="Oil"/>
    <n v="5"/>
    <n v="29790"/>
    <n v="148950"/>
    <s v="UPI"/>
    <s v="Surat"/>
    <n v="1"/>
    <n v="3"/>
  </r>
  <r>
    <s v="ORD0165"/>
    <x v="80"/>
    <s v="26-Jan-2025"/>
    <s v="Electronics"/>
    <s v="Mouse"/>
    <n v="6"/>
    <n v="4078"/>
    <n v="24468"/>
    <s v="Net Banking"/>
    <s v="Hyderabad"/>
    <n v="2"/>
    <n v="1"/>
  </r>
  <r>
    <s v="ORD0166"/>
    <x v="35"/>
    <s v="06-Mar-2025"/>
    <s v="Electronics"/>
    <s v="Headphones"/>
    <n v="2"/>
    <n v="27034"/>
    <n v="54068"/>
    <s v="UPI"/>
    <s v="Nagpur"/>
    <n v="2"/>
    <n v="5"/>
  </r>
  <r>
    <s v="ORD0167"/>
    <x v="81"/>
    <s v="04-Jun-2025"/>
    <s v="Grocery"/>
    <s v="Rice"/>
    <n v="5"/>
    <n v="27909"/>
    <n v="139545"/>
    <s v="Card"/>
    <s v="Ahmedabad"/>
    <n v="3"/>
    <n v="4"/>
  </r>
  <r>
    <s v="ORD0168"/>
    <x v="76"/>
    <s v="02-Feb-2025"/>
    <s v="Beauty"/>
    <s v="Face Wash"/>
    <n v="5"/>
    <n v="4648"/>
    <n v="23240"/>
    <s v="Card"/>
    <s v="Nagpur"/>
    <n v="3"/>
    <n v="4"/>
  </r>
  <r>
    <s v="ORD0169"/>
    <x v="8"/>
    <s v="03-Jan-2025"/>
    <s v="Beauty"/>
    <s v="Cream"/>
    <n v="6"/>
    <n v="14724"/>
    <n v="88344"/>
    <s v="Wallet"/>
    <s v="Surat"/>
    <n v="5"/>
    <n v="3"/>
  </r>
  <r>
    <s v="ORD0170"/>
    <x v="19"/>
    <s v="22-May-2025"/>
    <s v="Fashion"/>
    <s v="Shoes"/>
    <n v="7"/>
    <n v="1564"/>
    <n v="10948"/>
    <s v="Card"/>
    <s v="Jaipur"/>
    <n v="4"/>
    <n v="5"/>
  </r>
  <r>
    <s v="ORD0171"/>
    <x v="82"/>
    <s v="21-Apr-2025"/>
    <s v="Fashion"/>
    <s v="Jacket"/>
    <n v="3"/>
    <n v="1473"/>
    <n v="4419"/>
    <s v="Cash"/>
    <s v="Hyderabad"/>
    <n v="2"/>
    <n v="1"/>
  </r>
  <r>
    <s v="ORD0172"/>
    <x v="63"/>
    <s v="10-Apr-2025"/>
    <s v="Beauty"/>
    <s v="Perfume"/>
    <n v="4"/>
    <n v="29727"/>
    <n v="118908"/>
    <s v="Net Banking"/>
    <s v="Pune"/>
    <n v="1"/>
    <n v="4"/>
  </r>
  <r>
    <s v="ORD0173"/>
    <x v="54"/>
    <s v="07-Apr-2025"/>
    <s v="Home"/>
    <s v="Lamp"/>
    <n v="4"/>
    <n v="5180"/>
    <n v="20720"/>
    <s v="Cash"/>
    <s v="Pune"/>
    <n v="5"/>
    <n v="2"/>
  </r>
  <r>
    <s v="ORD0174"/>
    <x v="45"/>
    <s v="21-Mar-2025"/>
    <s v="Home"/>
    <s v="Bedsheet"/>
    <n v="6"/>
    <n v="18675"/>
    <n v="112050"/>
    <s v="Net Banking"/>
    <s v="Nagpur"/>
    <n v="5"/>
    <n v="4"/>
  </r>
  <r>
    <s v="ORD0175"/>
    <x v="11"/>
    <s v="02-Jun-2025"/>
    <s v="Fashion"/>
    <s v="Jacket"/>
    <n v="8"/>
    <n v="5772"/>
    <n v="46176"/>
    <s v="UPI"/>
    <s v="Jaipur"/>
    <n v="2"/>
    <n v="6"/>
  </r>
  <r>
    <s v="ORD0176"/>
    <x v="83"/>
    <s v="14-May-2025"/>
    <s v="Grocery"/>
    <s v="Rice"/>
    <n v="3"/>
    <n v="27208"/>
    <n v="81624"/>
    <s v="Net Banking"/>
    <s v="Indore"/>
    <n v="5"/>
    <n v="1"/>
  </r>
  <r>
    <s v="ORD0177"/>
    <x v="1"/>
    <s v="14-Mar-2025"/>
    <s v="Home"/>
    <s v="Chair"/>
    <n v="2"/>
    <n v="13097"/>
    <n v="26194"/>
    <s v="Net Banking"/>
    <s v="Nagpur"/>
    <n v="4"/>
    <n v="7"/>
  </r>
  <r>
    <s v="ORD0178"/>
    <x v="84"/>
    <s v="24-Feb-2025"/>
    <s v="Grocery"/>
    <s v="Oil"/>
    <n v="8"/>
    <n v="18540"/>
    <n v="148320"/>
    <s v="Cash"/>
    <s v="Delhi"/>
    <n v="2"/>
    <n v="4"/>
  </r>
  <r>
    <s v="ORD0179"/>
    <x v="85"/>
    <s v="07-May-2025"/>
    <s v="Fashion"/>
    <s v="T-Shirt"/>
    <n v="10"/>
    <n v="23963"/>
    <n v="239630"/>
    <s v="Card"/>
    <s v="Mumbai"/>
    <n v="4"/>
    <n v="1"/>
  </r>
  <r>
    <s v="ORD0180"/>
    <x v="86"/>
    <s v="02-Jan-2025"/>
    <s v="Fashion"/>
    <s v="Shoes"/>
    <n v="7"/>
    <n v="6929"/>
    <n v="48503"/>
    <s v="Wallet"/>
    <s v="Nagpur"/>
    <n v="3"/>
    <n v="3"/>
  </r>
  <r>
    <s v="ORD0181"/>
    <x v="87"/>
    <s v="09-Jun-2025"/>
    <s v="Beauty"/>
    <s v="Perfume"/>
    <n v="3"/>
    <n v="3454"/>
    <n v="10362"/>
    <s v="Cash"/>
    <s v="Surat"/>
    <n v="4"/>
    <n v="1"/>
  </r>
  <r>
    <s v="ORD0182"/>
    <x v="42"/>
    <s v="23-Jun-2025"/>
    <s v="Home"/>
    <s v="Chair"/>
    <n v="1"/>
    <n v="27997"/>
    <n v="27997"/>
    <s v="UPI"/>
    <s v="Bangalore"/>
    <n v="1"/>
    <n v="5"/>
  </r>
  <r>
    <s v="ORD0183"/>
    <x v="88"/>
    <s v="06-Feb-2025"/>
    <s v="Electronics"/>
    <s v="Headphones"/>
    <n v="5"/>
    <n v="15125"/>
    <n v="75625"/>
    <s v="Card"/>
    <s v="Jaipur"/>
    <n v="5"/>
    <n v="2"/>
  </r>
  <r>
    <s v="ORD0184"/>
    <x v="15"/>
    <s v="08-May-2025"/>
    <s v="Fashion"/>
    <s v="Shoes"/>
    <n v="5"/>
    <n v="3567"/>
    <n v="17835"/>
    <s v="Wallet"/>
    <s v="Hyderabad"/>
    <n v="1"/>
    <n v="5"/>
  </r>
  <r>
    <s v="ORD0185"/>
    <x v="25"/>
    <s v="20-Jun-2025"/>
    <s v="Electronics"/>
    <s v="Power Bank"/>
    <n v="3"/>
    <n v="18032"/>
    <n v="54096"/>
    <s v="Cash"/>
    <s v="Nagpur"/>
    <n v="2"/>
    <n v="4"/>
  </r>
  <r>
    <s v="ORD0186"/>
    <x v="72"/>
    <s v="08-May-2025"/>
    <s v="Home"/>
    <s v="Bedsheet"/>
    <n v="8"/>
    <n v="3363"/>
    <n v="26904"/>
    <s v="UPI"/>
    <s v="Delhi"/>
    <n v="5"/>
    <n v="3"/>
  </r>
  <r>
    <s v="ORD0187"/>
    <x v="12"/>
    <s v="24-Mar-2025"/>
    <s v="Beauty"/>
    <s v="Perfume"/>
    <n v="4"/>
    <n v="4863"/>
    <n v="19452"/>
    <s v="UPI"/>
    <s v="Mumbai"/>
    <n v="1"/>
    <n v="5"/>
  </r>
  <r>
    <s v="ORD0188"/>
    <x v="39"/>
    <s v="28-Apr-2025"/>
    <s v="Electronics"/>
    <s v="Headphones"/>
    <n v="3"/>
    <n v="16270"/>
    <n v="48810"/>
    <s v="Wallet"/>
    <s v="Ahmedabad"/>
    <n v="4"/>
    <n v="4"/>
  </r>
  <r>
    <s v="ORD0189"/>
    <x v="86"/>
    <s v="20-Feb-2025"/>
    <s v="Grocery"/>
    <s v="Oil"/>
    <n v="9"/>
    <n v="28458"/>
    <n v="256122"/>
    <s v="Net Banking"/>
    <s v="Pune"/>
    <n v="5"/>
    <n v="3"/>
  </r>
  <r>
    <s v="ORD0190"/>
    <x v="64"/>
    <s v="27-Feb-2025"/>
    <s v="Grocery"/>
    <s v="Sugar"/>
    <n v="10"/>
    <n v="15248"/>
    <n v="152480"/>
    <s v="UPI"/>
    <s v="Indore"/>
    <n v="3"/>
    <n v="2"/>
  </r>
  <r>
    <s v="ORD0191"/>
    <x v="78"/>
    <s v="22-Mar-2025"/>
    <s v="Grocery"/>
    <s v="Sugar"/>
    <n v="7"/>
    <n v="27241"/>
    <n v="190687"/>
    <s v="Card"/>
    <s v="Hyderabad"/>
    <n v="2"/>
    <n v="3"/>
  </r>
  <r>
    <s v="ORD0192"/>
    <x v="89"/>
    <s v="01-Mar-2025"/>
    <s v="Fashion"/>
    <s v="Jeans"/>
    <n v="4"/>
    <n v="11758"/>
    <n v="47032"/>
    <s v="Wallet"/>
    <s v="Mumbai"/>
    <n v="4"/>
    <n v="3"/>
  </r>
  <r>
    <s v="ORD0193"/>
    <x v="67"/>
    <s v="09-Feb-2025"/>
    <s v="Home"/>
    <s v="Cookware"/>
    <n v="7"/>
    <n v="28536"/>
    <n v="199752"/>
    <s v="Wallet"/>
    <s v="Nagpur"/>
    <n v="4"/>
    <n v="3"/>
  </r>
  <r>
    <s v="ORD0194"/>
    <x v="76"/>
    <s v="05-Jun-2025"/>
    <s v="Home"/>
    <s v="Bedsheet"/>
    <n v="9"/>
    <n v="3279"/>
    <n v="29511"/>
    <s v="UPI"/>
    <s v="Indore"/>
    <n v="1"/>
    <n v="4"/>
  </r>
  <r>
    <s v="ORD0195"/>
    <x v="16"/>
    <s v="28-Mar-2025"/>
    <s v="Grocery"/>
    <s v="Rice"/>
    <n v="10"/>
    <n v="16626"/>
    <n v="166260"/>
    <s v="Card"/>
    <s v="Jaipur"/>
    <n v="5"/>
    <n v="2"/>
  </r>
  <r>
    <s v="ORD0196"/>
    <x v="90"/>
    <s v="19-Jun-2025"/>
    <s v="Beauty"/>
    <s v="Perfume"/>
    <n v="9"/>
    <n v="20461"/>
    <n v="184149"/>
    <s v="Wallet"/>
    <s v="Surat"/>
    <n v="4"/>
    <n v="2"/>
  </r>
  <r>
    <s v="ORD0197"/>
    <x v="90"/>
    <s v="13-Jun-2025"/>
    <s v="Fashion"/>
    <s v="Jacket"/>
    <n v="8"/>
    <n v="28304"/>
    <n v="226432"/>
    <s v="Cash"/>
    <s v="Nagpur"/>
    <n v="2"/>
    <n v="2"/>
  </r>
  <r>
    <s v="ORD0198"/>
    <x v="53"/>
    <s v="02-Mar-2025"/>
    <s v="Home"/>
    <s v="Cookware"/>
    <n v="10"/>
    <n v="8600"/>
    <n v="86000"/>
    <s v="Cash"/>
    <s v="Hyderabad"/>
    <n v="4"/>
    <n v="4"/>
  </r>
  <r>
    <s v="ORD0199"/>
    <x v="91"/>
    <s v="29-Jun-2025"/>
    <s v="Home"/>
    <s v="Cookware"/>
    <n v="4"/>
    <n v="20721"/>
    <n v="82884"/>
    <s v="Card"/>
    <s v="Surat"/>
    <n v="2"/>
    <n v="2"/>
  </r>
  <r>
    <s v="ORD0200"/>
    <x v="92"/>
    <s v="10-Apr-2025"/>
    <s v="Home"/>
    <s v="Lamp"/>
    <n v="7"/>
    <n v="25127"/>
    <n v="175889"/>
    <s v="Net Banking"/>
    <s v="Jaipur"/>
    <n v="5"/>
    <n v="3"/>
  </r>
  <r>
    <s v="ORD0201"/>
    <x v="44"/>
    <s v="26-Jan-2025"/>
    <s v="Electronics"/>
    <s v="Mouse"/>
    <n v="7"/>
    <n v="3522"/>
    <n v="24654"/>
    <s v="Cash"/>
    <s v="Ahmedabad"/>
    <n v="1"/>
    <n v="4"/>
  </r>
  <r>
    <s v="ORD0202"/>
    <x v="68"/>
    <s v="28-May-2025"/>
    <s v="Electronics"/>
    <s v="Power Bank"/>
    <n v="4"/>
    <n v="3876"/>
    <n v="15504"/>
    <s v="Card"/>
    <s v="Pune"/>
    <n v="5"/>
    <n v="2"/>
  </r>
  <r>
    <s v="ORD0203"/>
    <x v="57"/>
    <s v="08-Mar-2025"/>
    <s v="Beauty"/>
    <s v="Perfume"/>
    <n v="9"/>
    <n v="29582"/>
    <n v="266238"/>
    <s v="Net Banking"/>
    <s v="Indore"/>
    <n v="3"/>
    <n v="3"/>
  </r>
  <r>
    <s v="ORD0204"/>
    <x v="18"/>
    <s v="21-Jan-2025"/>
    <s v="Grocery"/>
    <s v="Sugar"/>
    <n v="3"/>
    <n v="25570"/>
    <n v="76710"/>
    <s v="Net Banking"/>
    <s v="Indore"/>
    <n v="2"/>
    <n v="5"/>
  </r>
  <r>
    <s v="ORD0205"/>
    <x v="72"/>
    <s v="21-Mar-2025"/>
    <s v="Home"/>
    <s v="Chair"/>
    <n v="5"/>
    <n v="15486"/>
    <n v="77430"/>
    <s v="Cash"/>
    <s v="Mumbai"/>
    <n v="2"/>
    <n v="3"/>
  </r>
  <r>
    <s v="ORD0206"/>
    <x v="84"/>
    <s v="06-May-2025"/>
    <s v="Beauty"/>
    <s v="Perfume"/>
    <n v="10"/>
    <n v="146"/>
    <n v="1460"/>
    <s v="Cash"/>
    <s v="Jaipur"/>
    <n v="3"/>
    <n v="4"/>
  </r>
  <r>
    <s v="ORD0207"/>
    <x v="22"/>
    <s v="06-Feb-2025"/>
    <s v="Home"/>
    <s v="Chair"/>
    <n v="1"/>
    <n v="11203"/>
    <n v="11203"/>
    <s v="Card"/>
    <s v="Indore"/>
    <n v="5"/>
    <n v="6"/>
  </r>
  <r>
    <s v="ORD0208"/>
    <x v="93"/>
    <s v="11-Jan-2025"/>
    <s v="Fashion"/>
    <s v="Jeans"/>
    <n v="5"/>
    <n v="29063"/>
    <n v="145315"/>
    <s v="Net Banking"/>
    <s v="Jaipur"/>
    <n v="2"/>
    <n v="1"/>
  </r>
  <r>
    <s v="ORD0209"/>
    <x v="59"/>
    <s v="25-May-2025"/>
    <s v="Home"/>
    <s v="Chair"/>
    <n v="4"/>
    <n v="23997"/>
    <n v="95988"/>
    <s v="Wallet"/>
    <s v="Nagpur"/>
    <n v="3"/>
    <n v="4"/>
  </r>
  <r>
    <s v="ORD0210"/>
    <x v="81"/>
    <s v="15-Mar-2025"/>
    <s v="Fashion"/>
    <s v="Shoes"/>
    <n v="3"/>
    <n v="375"/>
    <n v="1125"/>
    <s v="Cash"/>
    <s v="Delhi"/>
    <n v="4"/>
    <n v="4"/>
  </r>
  <r>
    <s v="ORD0211"/>
    <x v="42"/>
    <s v="08-Jan-2025"/>
    <s v="Beauty"/>
    <s v="Cream"/>
    <n v="9"/>
    <n v="21176"/>
    <n v="190584"/>
    <s v="Card"/>
    <s v="Indore"/>
    <n v="5"/>
    <n v="5"/>
  </r>
  <r>
    <s v="ORD0212"/>
    <x v="14"/>
    <s v="20-Jan-2025"/>
    <s v="Grocery"/>
    <s v="Tea"/>
    <n v="7"/>
    <n v="15878"/>
    <n v="111146"/>
    <s v="Card"/>
    <s v="Jaipur"/>
    <n v="2"/>
    <n v="3"/>
  </r>
  <r>
    <s v="ORD0213"/>
    <x v="13"/>
    <s v="28-Apr-2025"/>
    <s v="Electronics"/>
    <s v="Keyboard"/>
    <n v="1"/>
    <n v="21663"/>
    <n v="21663"/>
    <s v="UPI"/>
    <s v="Pune"/>
    <n v="3"/>
    <n v="3"/>
  </r>
  <r>
    <s v="ORD0214"/>
    <x v="92"/>
    <s v="13-Feb-2025"/>
    <s v="Home"/>
    <s v="Lamp"/>
    <n v="8"/>
    <n v="2066"/>
    <n v="16528"/>
    <s v="Cash"/>
    <s v="Jaipur"/>
    <n v="4"/>
    <n v="3"/>
  </r>
  <r>
    <s v="ORD0215"/>
    <x v="52"/>
    <s v="23-Jun-2025"/>
    <s v="Home"/>
    <s v="Chair"/>
    <n v="10"/>
    <n v="8400"/>
    <n v="84000"/>
    <s v="Net Banking"/>
    <s v="Indore"/>
    <n v="5"/>
    <n v="3"/>
  </r>
  <r>
    <s v="ORD0216"/>
    <x v="84"/>
    <s v="26-Mar-2025"/>
    <s v="Beauty"/>
    <s v="Face Wash"/>
    <n v="6"/>
    <n v="10441"/>
    <n v="62646"/>
    <s v="Net Banking"/>
    <s v="Hyderabad"/>
    <n v="2"/>
    <n v="4"/>
  </r>
  <r>
    <s v="ORD0217"/>
    <x v="94"/>
    <s v="27-May-2025"/>
    <s v="Beauty"/>
    <s v="Shampoo"/>
    <n v="8"/>
    <n v="28287"/>
    <n v="226296"/>
    <s v="UPI"/>
    <s v="Pune"/>
    <n v="1"/>
    <n v="2"/>
  </r>
  <r>
    <s v="ORD0218"/>
    <x v="88"/>
    <s v="21-Jan-2025"/>
    <s v="Home"/>
    <s v="Bedsheet"/>
    <n v="1"/>
    <n v="9506"/>
    <n v="9506"/>
    <s v="UPI"/>
    <s v="Ahmedabad"/>
    <n v="2"/>
    <n v="2"/>
  </r>
  <r>
    <s v="ORD0219"/>
    <x v="94"/>
    <s v="15-Feb-2025"/>
    <s v="Fashion"/>
    <s v="Jeans"/>
    <n v="5"/>
    <n v="19863"/>
    <n v="99315"/>
    <s v="Card"/>
    <s v="Indore"/>
    <n v="1"/>
    <n v="2"/>
  </r>
  <r>
    <s v="ORD0220"/>
    <x v="79"/>
    <s v="18-Apr-2025"/>
    <s v="Beauty"/>
    <s v="Face Wash"/>
    <n v="9"/>
    <n v="28523"/>
    <n v="256707"/>
    <s v="UPI"/>
    <s v="Jaipur"/>
    <n v="5"/>
    <n v="3"/>
  </r>
  <r>
    <s v="ORD0221"/>
    <x v="1"/>
    <s v="15-Jan-2025"/>
    <s v="Home"/>
    <s v="Bedsheet"/>
    <n v="7"/>
    <n v="18277"/>
    <n v="127939"/>
    <s v="Card"/>
    <s v="Jaipur"/>
    <n v="4"/>
    <n v="7"/>
  </r>
  <r>
    <s v="ORD0222"/>
    <x v="77"/>
    <s v="31-Jan-2025"/>
    <s v="Home"/>
    <s v="Bedsheet"/>
    <n v="5"/>
    <n v="8618"/>
    <n v="43090"/>
    <s v="Wallet"/>
    <s v="Ahmedabad"/>
    <n v="5"/>
    <n v="4"/>
  </r>
  <r>
    <s v="ORD0223"/>
    <x v="34"/>
    <s v="18-Feb-2025"/>
    <s v="Electronics"/>
    <s v="Power Bank"/>
    <n v="1"/>
    <n v="24092"/>
    <n v="24092"/>
    <s v="Cash"/>
    <s v="Hyderabad"/>
    <n v="1"/>
    <n v="3"/>
  </r>
  <r>
    <s v="ORD0224"/>
    <x v="60"/>
    <s v="16-May-2025"/>
    <s v="Beauty"/>
    <s v="Face Wash"/>
    <n v="7"/>
    <n v="29209"/>
    <n v="204463"/>
    <s v="Wallet"/>
    <s v="Pune"/>
    <n v="4"/>
    <n v="3"/>
  </r>
  <r>
    <s v="ORD0225"/>
    <x v="63"/>
    <s v="25-Feb-2025"/>
    <s v="Beauty"/>
    <s v="Face Wash"/>
    <n v="1"/>
    <n v="5803"/>
    <n v="5803"/>
    <s v="Cash"/>
    <s v="Mumbai"/>
    <n v="5"/>
    <n v="4"/>
  </r>
  <r>
    <s v="ORD0226"/>
    <x v="18"/>
    <s v="14-Mar-2025"/>
    <s v="Electronics"/>
    <s v="Headphones"/>
    <n v="5"/>
    <n v="1383"/>
    <n v="6915"/>
    <s v="Cash"/>
    <s v="Bangalore"/>
    <n v="4"/>
    <n v="5"/>
  </r>
  <r>
    <s v="ORD0227"/>
    <x v="95"/>
    <s v="06-Jun-2025"/>
    <s v="Home"/>
    <s v="Bedsheet"/>
    <n v="3"/>
    <n v="8890"/>
    <n v="26670"/>
    <s v="Wallet"/>
    <s v="Surat"/>
    <n v="1"/>
    <n v="1"/>
  </r>
  <r>
    <s v="ORD0228"/>
    <x v="32"/>
    <s v="16-Jun-2025"/>
    <s v="Grocery"/>
    <s v="Tea"/>
    <n v="8"/>
    <n v="8153"/>
    <n v="65224"/>
    <s v="UPI"/>
    <s v="Bangalore"/>
    <n v="3"/>
    <n v="4"/>
  </r>
  <r>
    <s v="ORD0229"/>
    <x v="96"/>
    <s v="10-May-2025"/>
    <s v="Electronics"/>
    <s v="Headphones"/>
    <n v="8"/>
    <n v="1533"/>
    <n v="12264"/>
    <s v="UPI"/>
    <s v="Jaipur"/>
    <n v="3"/>
    <n v="1"/>
  </r>
  <r>
    <s v="ORD0230"/>
    <x v="69"/>
    <s v="03-Mar-2025"/>
    <s v="Grocery"/>
    <s v="Tea"/>
    <n v="6"/>
    <n v="23287"/>
    <n v="139722"/>
    <s v="UPI"/>
    <s v="Pune"/>
    <n v="5"/>
    <n v="2"/>
  </r>
  <r>
    <s v="ORD0231"/>
    <x v="38"/>
    <s v="03-Apr-2025"/>
    <s v="Home"/>
    <s v="Lamp"/>
    <n v="2"/>
    <n v="9611"/>
    <n v="19222"/>
    <s v="Net Banking"/>
    <s v="Bangalore"/>
    <n v="2"/>
    <n v="3"/>
  </r>
  <r>
    <s v="ORD0232"/>
    <x v="67"/>
    <s v="21-May-2025"/>
    <s v="Beauty"/>
    <s v="Face Wash"/>
    <n v="8"/>
    <n v="4126"/>
    <n v="33008"/>
    <s v="UPI"/>
    <s v="Bangalore"/>
    <n v="2"/>
    <n v="3"/>
  </r>
  <r>
    <s v="ORD0233"/>
    <x v="97"/>
    <s v="02-May-2025"/>
    <s v="Home"/>
    <s v="Lamp"/>
    <n v="6"/>
    <n v="9454"/>
    <n v="56724"/>
    <s v="UPI"/>
    <s v="Delhi"/>
    <n v="4"/>
    <n v="3"/>
  </r>
  <r>
    <s v="ORD0234"/>
    <x v="73"/>
    <s v="09-Apr-2025"/>
    <s v="Electronics"/>
    <s v="Power Bank"/>
    <n v="1"/>
    <n v="29637"/>
    <n v="29637"/>
    <s v="Wallet"/>
    <s v="Hyderabad"/>
    <n v="5"/>
    <n v="2"/>
  </r>
  <r>
    <s v="ORD0235"/>
    <x v="65"/>
    <s v="04-Jan-2025"/>
    <s v="Home"/>
    <s v="Lamp"/>
    <n v="3"/>
    <n v="20072"/>
    <n v="60216"/>
    <s v="Net Banking"/>
    <s v="Pune"/>
    <n v="3"/>
    <n v="4"/>
  </r>
  <r>
    <s v="ORD0236"/>
    <x v="77"/>
    <s v="26-Jun-2025"/>
    <s v="Fashion"/>
    <s v="Jeans"/>
    <n v="3"/>
    <n v="18250"/>
    <n v="54750"/>
    <s v="Net Banking"/>
    <s v="Bangalore"/>
    <n v="4"/>
    <n v="4"/>
  </r>
  <r>
    <s v="ORD0237"/>
    <x v="42"/>
    <s v="17-Feb-2025"/>
    <s v="Home"/>
    <s v="Chair"/>
    <n v="6"/>
    <n v="12883"/>
    <n v="77298"/>
    <s v="Cash"/>
    <s v="Delhi"/>
    <n v="2"/>
    <n v="5"/>
  </r>
  <r>
    <s v="ORD0238"/>
    <x v="62"/>
    <s v="11-Jun-2025"/>
    <s v="Fashion"/>
    <s v="Jeans"/>
    <n v="6"/>
    <n v="19408"/>
    <n v="116448"/>
    <s v="Cash"/>
    <s v="Nagpur"/>
    <n v="5"/>
    <n v="3"/>
  </r>
  <r>
    <s v="ORD0239"/>
    <x v="35"/>
    <s v="23-Mar-2025"/>
    <s v="Beauty"/>
    <s v="Cream"/>
    <n v="6"/>
    <n v="16521"/>
    <n v="99126"/>
    <s v="Wallet"/>
    <s v="Jaipur"/>
    <n v="5"/>
    <n v="5"/>
  </r>
  <r>
    <s v="ORD0240"/>
    <x v="55"/>
    <s v="19-Feb-2025"/>
    <s v="Fashion"/>
    <s v="T-Shirt"/>
    <n v="6"/>
    <n v="23816"/>
    <n v="142896"/>
    <s v="Card"/>
    <s v="Jaipur"/>
    <n v="3"/>
    <n v="6"/>
  </r>
  <r>
    <s v="ORD0241"/>
    <x v="37"/>
    <s v="02-Apr-2025"/>
    <s v="Electronics"/>
    <s v="Power Bank"/>
    <n v="5"/>
    <n v="26101"/>
    <n v="130505"/>
    <s v="Wallet"/>
    <s v="Indore"/>
    <n v="5"/>
    <n v="6"/>
  </r>
  <r>
    <s v="ORD0242"/>
    <x v="97"/>
    <s v="08-May-2025"/>
    <s v="Fashion"/>
    <s v="T-Shirt"/>
    <n v="1"/>
    <n v="15325"/>
    <n v="15325"/>
    <s v="Net Banking"/>
    <s v="Delhi"/>
    <n v="5"/>
    <n v="3"/>
  </r>
  <r>
    <s v="ORD0243"/>
    <x v="46"/>
    <s v="22-Mar-2025"/>
    <s v="Fashion"/>
    <s v="Shoes"/>
    <n v="3"/>
    <n v="2968"/>
    <n v="8904"/>
    <s v="Wallet"/>
    <s v="Surat"/>
    <n v="3"/>
    <n v="3"/>
  </r>
  <r>
    <s v="ORD0244"/>
    <x v="98"/>
    <s v="18-Apr-2025"/>
    <s v="Grocery"/>
    <s v="Tea"/>
    <n v="4"/>
    <n v="634"/>
    <n v="2536"/>
    <s v="Cash"/>
    <s v="Bangalore"/>
    <n v="2"/>
    <n v="1"/>
  </r>
  <r>
    <s v="ORD0245"/>
    <x v="99"/>
    <s v="08-Mar-2025"/>
    <s v="Beauty"/>
    <s v="Perfume"/>
    <n v="10"/>
    <n v="8386"/>
    <n v="83860"/>
    <s v="Cash"/>
    <s v="Indore"/>
    <n v="3"/>
    <n v="1"/>
  </r>
  <r>
    <s v="ORD0246"/>
    <x v="91"/>
    <s v="30-May-2025"/>
    <s v="Beauty"/>
    <s v="Cream"/>
    <n v="5"/>
    <n v="21330"/>
    <n v="106650"/>
    <s v="Cash"/>
    <s v="Mumbai"/>
    <n v="3"/>
    <n v="2"/>
  </r>
  <r>
    <s v="ORD0247"/>
    <x v="39"/>
    <s v="27-Feb-2025"/>
    <s v="Fashion"/>
    <s v="Jeans"/>
    <n v="4"/>
    <n v="2804"/>
    <n v="11216"/>
    <s v="Net Banking"/>
    <s v="Bangalore"/>
    <n v="1"/>
    <n v="4"/>
  </r>
  <r>
    <s v="ORD0248"/>
    <x v="63"/>
    <s v="09-Apr-2025"/>
    <s v="Electronics"/>
    <s v="Power Bank"/>
    <n v="4"/>
    <n v="2304"/>
    <n v="9216"/>
    <s v="Card"/>
    <s v="Ahmedabad"/>
    <n v="5"/>
    <n v="4"/>
  </r>
  <r>
    <s v="ORD0249"/>
    <x v="29"/>
    <s v="22-May-2025"/>
    <s v="Electronics"/>
    <s v="Headphones"/>
    <n v="9"/>
    <n v="25895"/>
    <n v="233055"/>
    <s v="Net Banking"/>
    <s v="Pune"/>
    <n v="3"/>
    <n v="5"/>
  </r>
  <r>
    <s v="ORD0250"/>
    <x v="11"/>
    <s v="01-Mar-2025"/>
    <s v="Home"/>
    <s v="Cookware"/>
    <n v="7"/>
    <n v="11084"/>
    <n v="77588"/>
    <s v="Cash"/>
    <s v="Pune"/>
    <n v="2"/>
    <n v="6"/>
  </r>
  <r>
    <s v="ORD0251"/>
    <x v="7"/>
    <s v="21-Feb-2025"/>
    <s v="Beauty"/>
    <s v="Face Wash"/>
    <n v="2"/>
    <n v="29775"/>
    <n v="59550"/>
    <s v="Wallet"/>
    <s v="Indore"/>
    <n v="5"/>
    <n v="4"/>
  </r>
  <r>
    <s v="ORD0252"/>
    <x v="28"/>
    <s v="01-Jun-2025"/>
    <s v="Fashion"/>
    <s v="Jeans"/>
    <n v="6"/>
    <n v="16479"/>
    <n v="98874"/>
    <s v="Net Banking"/>
    <s v="Bangalore"/>
    <n v="2"/>
    <n v="3"/>
  </r>
  <r>
    <s v="ORD0253"/>
    <x v="47"/>
    <s v="01-Apr-2025"/>
    <s v="Home"/>
    <s v="Chair"/>
    <n v="9"/>
    <n v="26265"/>
    <n v="236385"/>
    <s v="Net Banking"/>
    <s v="Pune"/>
    <n v="5"/>
    <n v="3"/>
  </r>
  <r>
    <s v="ORD0254"/>
    <x v="53"/>
    <s v="21-May-2025"/>
    <s v="Electronics"/>
    <s v="Mouse"/>
    <n v="5"/>
    <n v="25861"/>
    <n v="129305"/>
    <s v="UPI"/>
    <s v="Hyderabad"/>
    <n v="2"/>
    <n v="4"/>
  </r>
  <r>
    <s v="ORD0255"/>
    <x v="89"/>
    <s v="07-Feb-2025"/>
    <s v="Grocery"/>
    <s v="Tea"/>
    <n v="4"/>
    <n v="19421"/>
    <n v="77684"/>
    <s v="UPI"/>
    <s v="Jaipur"/>
    <n v="3"/>
    <n v="3"/>
  </r>
  <r>
    <s v="ORD0256"/>
    <x v="45"/>
    <s v="02-Jan-2025"/>
    <s v="Home"/>
    <s v="Chair"/>
    <n v="3"/>
    <n v="3715"/>
    <n v="11145"/>
    <s v="Wallet"/>
    <s v="Mumbai"/>
    <n v="4"/>
    <n v="4"/>
  </r>
  <r>
    <s v="ORD0257"/>
    <x v="78"/>
    <s v="27-Feb-2025"/>
    <s v="Fashion"/>
    <s v="T-Shirt"/>
    <n v="1"/>
    <n v="10474"/>
    <n v="10474"/>
    <s v="Wallet"/>
    <s v="Pune"/>
    <n v="2"/>
    <n v="3"/>
  </r>
  <r>
    <s v="ORD0258"/>
    <x v="100"/>
    <s v="26-Apr-2025"/>
    <s v="Electronics"/>
    <s v="Mouse"/>
    <n v="10"/>
    <n v="21960"/>
    <n v="219600"/>
    <s v="Net Banking"/>
    <s v="Mumbai"/>
    <n v="2"/>
    <n v="2"/>
  </r>
  <r>
    <s v="ORD0259"/>
    <x v="18"/>
    <s v="20-Mar-2025"/>
    <s v="Fashion"/>
    <s v="T-Shirt"/>
    <n v="7"/>
    <n v="23268"/>
    <n v="162876"/>
    <s v="Wallet"/>
    <s v="Surat"/>
    <n v="1"/>
    <n v="5"/>
  </r>
  <r>
    <s v="ORD0260"/>
    <x v="5"/>
    <s v="06-Apr-2025"/>
    <s v="Beauty"/>
    <s v="Cream"/>
    <n v="4"/>
    <n v="4982"/>
    <n v="19928"/>
    <s v="Card"/>
    <s v="Indore"/>
    <n v="3"/>
    <n v="3"/>
  </r>
  <r>
    <s v="ORD0261"/>
    <x v="55"/>
    <s v="15-Feb-2025"/>
    <s v="Beauty"/>
    <s v="Cream"/>
    <n v="1"/>
    <n v="6240"/>
    <n v="6240"/>
    <s v="Cash"/>
    <s v="Delhi"/>
    <n v="4"/>
    <n v="6"/>
  </r>
  <r>
    <s v="ORD0262"/>
    <x v="18"/>
    <s v="25-Jan-2025"/>
    <s v="Grocery"/>
    <s v="Oil"/>
    <n v="4"/>
    <n v="11299"/>
    <n v="45196"/>
    <s v="Net Banking"/>
    <s v="Bangalore"/>
    <n v="5"/>
    <n v="5"/>
  </r>
  <r>
    <s v="ORD0263"/>
    <x v="48"/>
    <s v="19-Feb-2025"/>
    <s v="Electronics"/>
    <s v="Headphones"/>
    <n v="9"/>
    <n v="28109"/>
    <n v="252981"/>
    <s v="Wallet"/>
    <s v="Hyderabad"/>
    <n v="4"/>
    <n v="2"/>
  </r>
  <r>
    <s v="ORD0264"/>
    <x v="17"/>
    <s v="17-May-2025"/>
    <s v="Electronics"/>
    <s v="Keyboard"/>
    <n v="8"/>
    <n v="10189"/>
    <n v="81512"/>
    <s v="Card"/>
    <s v="Nagpur"/>
    <n v="2"/>
    <n v="6"/>
  </r>
  <r>
    <s v="ORD0265"/>
    <x v="44"/>
    <s v="27-Jan-2025"/>
    <s v="Beauty"/>
    <s v="Shampoo"/>
    <n v="10"/>
    <n v="22809"/>
    <n v="228090"/>
    <s v="Net Banking"/>
    <s v="Mumbai"/>
    <n v="4"/>
    <n v="4"/>
  </r>
  <r>
    <s v="ORD0266"/>
    <x v="79"/>
    <s v="04-Feb-2025"/>
    <s v="Beauty"/>
    <s v="Cream"/>
    <n v="5"/>
    <n v="4258"/>
    <n v="21290"/>
    <s v="Card"/>
    <s v="Indore"/>
    <n v="5"/>
    <n v="3"/>
  </r>
  <r>
    <s v="ORD0267"/>
    <x v="84"/>
    <s v="03-Mar-2025"/>
    <s v="Grocery"/>
    <s v="Rice"/>
    <n v="4"/>
    <n v="25606"/>
    <n v="102424"/>
    <s v="Net Banking"/>
    <s v="Mumbai"/>
    <n v="3"/>
    <n v="4"/>
  </r>
  <r>
    <s v="ORD0268"/>
    <x v="101"/>
    <s v="22-Mar-2025"/>
    <s v="Beauty"/>
    <s v="Perfume"/>
    <n v="2"/>
    <n v="11000"/>
    <n v="22000"/>
    <s v="Cash"/>
    <s v="Mumbai"/>
    <n v="1"/>
    <n v="2"/>
  </r>
  <r>
    <s v="ORD0269"/>
    <x v="32"/>
    <s v="31-Mar-2025"/>
    <s v="Grocery"/>
    <s v="Rice"/>
    <n v="4"/>
    <n v="6672"/>
    <n v="26688"/>
    <s v="Card"/>
    <s v="Jaipur"/>
    <n v="5"/>
    <n v="4"/>
  </r>
  <r>
    <s v="ORD0270"/>
    <x v="89"/>
    <s v="18-Jun-2025"/>
    <s v="Grocery"/>
    <s v="Oil"/>
    <n v="9"/>
    <n v="21350"/>
    <n v="192150"/>
    <s v="Cash"/>
    <s v="Bangalore"/>
    <n v="5"/>
    <n v="3"/>
  </r>
  <r>
    <s v="ORD0271"/>
    <x v="86"/>
    <s v="05-Feb-2025"/>
    <s v="Grocery"/>
    <s v="Sugar"/>
    <n v="8"/>
    <n v="10250"/>
    <n v="82000"/>
    <s v="Cash"/>
    <s v="Ahmedabad"/>
    <n v="5"/>
    <n v="3"/>
  </r>
  <r>
    <s v="ORD0272"/>
    <x v="102"/>
    <s v="09-Jun-2025"/>
    <s v="Electronics"/>
    <s v="Power Bank"/>
    <n v="6"/>
    <n v="16198"/>
    <n v="97188"/>
    <s v="Wallet"/>
    <s v="Mumbai"/>
    <n v="1"/>
    <n v="1"/>
  </r>
  <r>
    <s v="ORD0273"/>
    <x v="97"/>
    <s v="19-Feb-2025"/>
    <s v="Fashion"/>
    <s v="Shoes"/>
    <n v="6"/>
    <n v="15546"/>
    <n v="93276"/>
    <s v="Cash"/>
    <s v="Delhi"/>
    <n v="4"/>
    <n v="3"/>
  </r>
  <r>
    <s v="ORD0274"/>
    <x v="2"/>
    <s v="17-May-2025"/>
    <s v="Fashion"/>
    <s v="Jacket"/>
    <n v="1"/>
    <n v="17082"/>
    <n v="17082"/>
    <s v="Card"/>
    <s v="Mumbai"/>
    <n v="5"/>
    <n v="3"/>
  </r>
  <r>
    <s v="ORD0275"/>
    <x v="11"/>
    <s v="06-Jan-2025"/>
    <s v="Grocery"/>
    <s v="Tea"/>
    <n v="10"/>
    <n v="11616"/>
    <n v="116160"/>
    <s v="Wallet"/>
    <s v="Pune"/>
    <n v="4"/>
    <n v="6"/>
  </r>
  <r>
    <s v="ORD0276"/>
    <x v="3"/>
    <s v="16-Mar-2025"/>
    <s v="Beauty"/>
    <s v="Shampoo"/>
    <n v="6"/>
    <n v="15272"/>
    <n v="91632"/>
    <s v="Wallet"/>
    <s v="Nagpur"/>
    <n v="5"/>
    <n v="5"/>
  </r>
  <r>
    <s v="ORD0277"/>
    <x v="36"/>
    <s v="20-Jun-2025"/>
    <s v="Beauty"/>
    <s v="Cream"/>
    <n v="1"/>
    <n v="9012"/>
    <n v="9012"/>
    <s v="Net Banking"/>
    <s v="Hyderabad"/>
    <n v="5"/>
    <n v="2"/>
  </r>
  <r>
    <s v="ORD0278"/>
    <x v="81"/>
    <s v="24-Jun-2025"/>
    <s v="Grocery"/>
    <s v="Rice"/>
    <n v="8"/>
    <n v="19392"/>
    <n v="155136"/>
    <s v="Card"/>
    <s v="Jaipur"/>
    <n v="4"/>
    <n v="4"/>
  </r>
  <r>
    <s v="ORD0279"/>
    <x v="101"/>
    <s v="31-Mar-2025"/>
    <s v="Home"/>
    <s v="Lamp"/>
    <n v="9"/>
    <n v="15061"/>
    <n v="135549"/>
    <s v="Card"/>
    <s v="Bangalore"/>
    <n v="2"/>
    <n v="2"/>
  </r>
  <r>
    <s v="ORD0280"/>
    <x v="42"/>
    <s v="03-Feb-2025"/>
    <s v="Fashion"/>
    <s v="Shoes"/>
    <n v="4"/>
    <n v="18691"/>
    <n v="74764"/>
    <s v="UPI"/>
    <s v="Indore"/>
    <n v="3"/>
    <n v="5"/>
  </r>
  <r>
    <s v="ORD0281"/>
    <x v="92"/>
    <s v="03-May-2025"/>
    <s v="Grocery"/>
    <s v="Rice"/>
    <n v="10"/>
    <n v="23475"/>
    <n v="234750"/>
    <s v="Wallet"/>
    <s v="Bangalore"/>
    <n v="5"/>
    <n v="3"/>
  </r>
  <r>
    <s v="ORD0282"/>
    <x v="75"/>
    <s v="21-Mar-2025"/>
    <s v="Home"/>
    <s v="Bedsheet"/>
    <n v="6"/>
    <n v="13065"/>
    <n v="78390"/>
    <s v="Net Banking"/>
    <s v="Jaipur"/>
    <n v="2"/>
    <n v="2"/>
  </r>
  <r>
    <s v="ORD0283"/>
    <x v="81"/>
    <s v="25-Jun-2025"/>
    <s v="Electronics"/>
    <s v="Power Bank"/>
    <n v="7"/>
    <n v="9551"/>
    <n v="66857"/>
    <s v="UPI"/>
    <s v="Surat"/>
    <n v="3"/>
    <n v="4"/>
  </r>
  <r>
    <s v="ORD0284"/>
    <x v="22"/>
    <s v="04-Jun-2025"/>
    <s v="Electronics"/>
    <s v="Speaker"/>
    <n v="4"/>
    <n v="1951"/>
    <n v="7804"/>
    <s v="Net Banking"/>
    <s v="Mumbai"/>
    <n v="3"/>
    <n v="6"/>
  </r>
  <r>
    <s v="ORD0285"/>
    <x v="35"/>
    <s v="23-Feb-2025"/>
    <s v="Fashion"/>
    <s v="Jacket"/>
    <n v="2"/>
    <n v="11786"/>
    <n v="23572"/>
    <s v="Wallet"/>
    <s v="Hyderabad"/>
    <n v="1"/>
    <n v="5"/>
  </r>
  <r>
    <s v="ORD0286"/>
    <x v="15"/>
    <s v="19-Apr-2025"/>
    <s v="Fashion"/>
    <s v="Shoes"/>
    <n v="9"/>
    <n v="3512"/>
    <n v="31608"/>
    <s v="Card"/>
    <s v="Pune"/>
    <n v="3"/>
    <n v="5"/>
  </r>
  <r>
    <s v="ORD0287"/>
    <x v="17"/>
    <s v="20-Jun-2025"/>
    <s v="Home"/>
    <s v="Lamp"/>
    <n v="2"/>
    <n v="25140"/>
    <n v="50280"/>
    <s v="Cash"/>
    <s v="Delhi"/>
    <n v="1"/>
    <n v="6"/>
  </r>
  <r>
    <s v="ORD0288"/>
    <x v="43"/>
    <s v="01-May-2025"/>
    <s v="Grocery"/>
    <s v="Tea"/>
    <n v="6"/>
    <n v="11392"/>
    <n v="68352"/>
    <s v="Wallet"/>
    <s v="Ahmedabad"/>
    <n v="5"/>
    <n v="2"/>
  </r>
  <r>
    <s v="ORD0289"/>
    <x v="100"/>
    <s v="26-Mar-2025"/>
    <s v="Beauty"/>
    <s v="Cream"/>
    <n v="9"/>
    <n v="16689"/>
    <n v="150201"/>
    <s v="Cash"/>
    <s v="Ahmedabad"/>
    <n v="3"/>
    <n v="2"/>
  </r>
  <r>
    <s v="ORD0290"/>
    <x v="31"/>
    <s v="17-Mar-2025"/>
    <s v="Home"/>
    <s v="Cookware"/>
    <n v="7"/>
    <n v="28237"/>
    <n v="197659"/>
    <s v="Net Banking"/>
    <s v="Jaipur"/>
    <n v="1"/>
    <n v="3"/>
  </r>
  <r>
    <s v="ORD0291"/>
    <x v="70"/>
    <s v="10-Mar-2025"/>
    <s v="Home"/>
    <s v="Chair"/>
    <n v="9"/>
    <n v="25637"/>
    <n v="230733"/>
    <s v="UPI"/>
    <s v="Mumbai"/>
    <n v="1"/>
    <n v="2"/>
  </r>
  <r>
    <s v="ORD0292"/>
    <x v="76"/>
    <s v="28-Jan-2025"/>
    <s v="Beauty"/>
    <s v="Cream"/>
    <n v="2"/>
    <n v="22089"/>
    <n v="44178"/>
    <s v="UPI"/>
    <s v="Pune"/>
    <n v="4"/>
    <n v="4"/>
  </r>
  <r>
    <s v="ORD0293"/>
    <x v="4"/>
    <s v="25-Jan-2025"/>
    <s v="Electronics"/>
    <s v="Speaker"/>
    <n v="9"/>
    <n v="1976"/>
    <n v="17784"/>
    <s v="Card"/>
    <s v="Bangalore"/>
    <n v="4"/>
    <n v="4"/>
  </r>
  <r>
    <s v="ORD0294"/>
    <x v="62"/>
    <s v="16-Feb-2025"/>
    <s v="Beauty"/>
    <s v="Shampoo"/>
    <n v="10"/>
    <n v="11664"/>
    <n v="116640"/>
    <s v="Card"/>
    <s v="Delhi"/>
    <n v="5"/>
    <n v="3"/>
  </r>
  <r>
    <s v="ORD0295"/>
    <x v="3"/>
    <s v="02-Apr-2025"/>
    <s v="Fashion"/>
    <s v="Jeans"/>
    <n v="5"/>
    <n v="26807"/>
    <n v="134035"/>
    <s v="UPI"/>
    <s v="Hyderabad"/>
    <n v="3"/>
    <n v="5"/>
  </r>
  <r>
    <s v="ORD0296"/>
    <x v="55"/>
    <s v="10-Mar-2025"/>
    <s v="Fashion"/>
    <s v="Jacket"/>
    <n v="5"/>
    <n v="8048"/>
    <n v="40240"/>
    <s v="Cash"/>
    <s v="Jaipur"/>
    <n v="4"/>
    <n v="6"/>
  </r>
  <r>
    <s v="ORD0297"/>
    <x v="11"/>
    <s v="16-May-2025"/>
    <s v="Beauty"/>
    <s v="Face Wash"/>
    <n v="2"/>
    <n v="18842"/>
    <n v="37684"/>
    <s v="Wallet"/>
    <s v="Delhi"/>
    <n v="5"/>
    <n v="6"/>
  </r>
  <r>
    <s v="ORD0298"/>
    <x v="58"/>
    <s v="19-Feb-2025"/>
    <s v="Grocery"/>
    <s v="Sugar"/>
    <n v="6"/>
    <n v="9390"/>
    <n v="56340"/>
    <s v="Net Banking"/>
    <s v="Hyderabad"/>
    <n v="5"/>
    <n v="3"/>
  </r>
  <r>
    <s v="ORD0299"/>
    <x v="103"/>
    <s v="09-Apr-2025"/>
    <s v="Grocery"/>
    <s v="Oil"/>
    <n v="2"/>
    <n v="23946"/>
    <n v="47892"/>
    <s v="Wallet"/>
    <s v="Bangalore"/>
    <n v="4"/>
    <n v="1"/>
  </r>
  <r>
    <s v="ORD0300"/>
    <x v="104"/>
    <s v="24-Jun-2025"/>
    <s v="Home"/>
    <s v="Cookware"/>
    <n v="3"/>
    <n v="20163"/>
    <n v="60489"/>
    <s v="Wallet"/>
    <s v="Mumbai"/>
    <n v="3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14EA80-6E91-42AC-B0E3-17783E70711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B44" firstHeaderRow="1" firstDataRow="1" firstDataCol="1"/>
  <pivotFields count="12">
    <pivotField showAll="0"/>
    <pivotField axis="axisRow" showAll="0" measureFilter="1" sortType="descending">
      <items count="106">
        <item x="54"/>
        <item x="81"/>
        <item x="52"/>
        <item x="39"/>
        <item x="12"/>
        <item x="71"/>
        <item x="34"/>
        <item x="99"/>
        <item x="9"/>
        <item x="101"/>
        <item x="18"/>
        <item x="30"/>
        <item x="59"/>
        <item x="4"/>
        <item x="44"/>
        <item x="50"/>
        <item x="66"/>
        <item x="10"/>
        <item x="83"/>
        <item x="17"/>
        <item x="100"/>
        <item x="7"/>
        <item x="28"/>
        <item x="78"/>
        <item x="88"/>
        <item x="46"/>
        <item x="98"/>
        <item x="13"/>
        <item x="87"/>
        <item x="49"/>
        <item x="77"/>
        <item x="76"/>
        <item x="38"/>
        <item x="90"/>
        <item x="103"/>
        <item x="94"/>
        <item x="53"/>
        <item x="67"/>
        <item x="22"/>
        <item x="32"/>
        <item x="65"/>
        <item x="74"/>
        <item x="80"/>
        <item x="29"/>
        <item x="97"/>
        <item x="79"/>
        <item x="19"/>
        <item x="92"/>
        <item x="14"/>
        <item x="35"/>
        <item x="104"/>
        <item x="40"/>
        <item x="0"/>
        <item x="37"/>
        <item x="69"/>
        <item x="51"/>
        <item x="95"/>
        <item x="16"/>
        <item x="62"/>
        <item x="86"/>
        <item x="91"/>
        <item x="72"/>
        <item x="57"/>
        <item x="20"/>
        <item x="27"/>
        <item x="102"/>
        <item x="45"/>
        <item x="84"/>
        <item x="85"/>
        <item x="21"/>
        <item x="60"/>
        <item x="89"/>
        <item x="42"/>
        <item x="68"/>
        <item x="31"/>
        <item x="3"/>
        <item x="82"/>
        <item x="63"/>
        <item x="55"/>
        <item x="33"/>
        <item x="1"/>
        <item x="75"/>
        <item x="25"/>
        <item x="61"/>
        <item x="43"/>
        <item x="23"/>
        <item x="41"/>
        <item x="93"/>
        <item x="8"/>
        <item x="64"/>
        <item x="2"/>
        <item x="56"/>
        <item x="70"/>
        <item x="15"/>
        <item x="26"/>
        <item x="47"/>
        <item x="5"/>
        <item x="24"/>
        <item x="11"/>
        <item x="73"/>
        <item x="48"/>
        <item x="6"/>
        <item x="36"/>
        <item x="58"/>
        <item x="9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31">
    <i>
      <x v="98"/>
    </i>
    <i>
      <x v="63"/>
    </i>
    <i>
      <x v="95"/>
    </i>
    <i>
      <x v="53"/>
    </i>
    <i>
      <x v="75"/>
    </i>
    <i>
      <x v="11"/>
    </i>
    <i>
      <x v="15"/>
    </i>
    <i>
      <x v="19"/>
    </i>
    <i>
      <x v="78"/>
    </i>
    <i>
      <x v="43"/>
    </i>
    <i>
      <x v="62"/>
    </i>
    <i>
      <x v="100"/>
    </i>
    <i>
      <x v="47"/>
    </i>
    <i>
      <x v="45"/>
    </i>
    <i>
      <x v="46"/>
    </i>
    <i>
      <x v="72"/>
    </i>
    <i>
      <x v="33"/>
    </i>
    <i>
      <x v="59"/>
    </i>
    <i>
      <x v="48"/>
    </i>
    <i>
      <x v="37"/>
    </i>
    <i>
      <x v="20"/>
    </i>
    <i>
      <x v="38"/>
    </i>
    <i>
      <x v="13"/>
    </i>
    <i>
      <x v="80"/>
    </i>
    <i>
      <x v="1"/>
    </i>
    <i>
      <x v="57"/>
    </i>
    <i>
      <x v="89"/>
    </i>
    <i>
      <x v="49"/>
    </i>
    <i>
      <x v="35"/>
    </i>
    <i>
      <x v="92"/>
    </i>
    <i t="grand">
      <x/>
    </i>
  </rowItems>
  <colItems count="1">
    <i/>
  </colItems>
  <dataFields count="1">
    <dataField name="Sum of Total Amount" fld="7" baseField="0" baseItem="0"/>
  </dataField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30" filterVal="3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1208DB-E2EC-49D7-875C-C69D72CE3D3E}" name="TableTransections" displayName="TableTransections" ref="A1:L301" totalsRowShown="0" headerRowDxfId="13" dataDxfId="12">
  <autoFilter ref="A1:L301" xr:uid="{251208DB-E2EC-49D7-875C-C69D72CE3D3E}"/>
  <tableColumns count="12">
    <tableColumn id="1" xr3:uid="{901DB076-C4D1-44A5-A6D5-5CB14261836C}" name="Order ID" dataDxfId="11"/>
    <tableColumn id="2" xr3:uid="{E297781D-8A88-41B7-B492-E9CBDE01B4AB}" name="Customer ID" dataDxfId="10"/>
    <tableColumn id="3" xr3:uid="{6EAAE2FB-135D-4DB3-BB8A-7A21B09BFB6C}" name="Order Date" dataDxfId="9"/>
    <tableColumn id="4" xr3:uid="{C5A45196-1A73-46F3-BE7A-9B8B3053EE67}" name="Category" dataDxfId="8"/>
    <tableColumn id="5" xr3:uid="{C451D8E9-B0E3-4DD7-A741-92D20573842F}" name="Product" dataDxfId="7"/>
    <tableColumn id="6" xr3:uid="{15786FF5-0802-4AC8-A9DB-64B6A0278863}" name="Quantity" dataDxfId="6"/>
    <tableColumn id="7" xr3:uid="{642E91CF-692D-4719-9F12-017A2921270F}" name="Unit Price" dataDxfId="5"/>
    <tableColumn id="8" xr3:uid="{3EF2FB05-A382-4EA9-9E9D-2A43578E3935}" name="Total Amount" dataDxfId="4"/>
    <tableColumn id="9" xr3:uid="{0D78FB59-CFA6-4CD2-AE6B-BFF9F5F09DCE}" name="Payment Method" dataDxfId="3"/>
    <tableColumn id="10" xr3:uid="{6F369634-5206-4FCE-B315-0781CDB29555}" name="City" dataDxfId="2"/>
    <tableColumn id="11" xr3:uid="{BFEFEB68-79E5-4E34-B726-47841F76079D}" name="Rating" dataDxfId="1"/>
    <tableColumn id="12" xr3:uid="{68E603F8-7509-4A66-BC1E-7249F713C451}" name="Order Count " dataDxfId="0">
      <calculatedColumnFormula>COUNTIF(TableTransections[[#All],[Customer ID]],TableTransections[[#This Row],[Customer ID]])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topLeftCell="C1" workbookViewId="0">
      <selection activeCell="L16" sqref="L1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</v>
      </c>
      <c r="G2">
        <v>26793</v>
      </c>
      <c r="H2">
        <v>26793</v>
      </c>
      <c r="I2" t="s">
        <v>16</v>
      </c>
      <c r="J2" t="s">
        <v>17</v>
      </c>
      <c r="K2">
        <v>4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4</v>
      </c>
      <c r="G3">
        <v>3055</v>
      </c>
      <c r="H3">
        <v>12220</v>
      </c>
      <c r="I3" t="s">
        <v>23</v>
      </c>
      <c r="J3" t="s">
        <v>17</v>
      </c>
      <c r="K3">
        <v>4</v>
      </c>
    </row>
    <row r="4" spans="1:11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>
        <v>2</v>
      </c>
      <c r="G4">
        <v>18282</v>
      </c>
      <c r="H4">
        <v>36564</v>
      </c>
      <c r="I4" t="s">
        <v>16</v>
      </c>
      <c r="J4" t="s">
        <v>29</v>
      </c>
      <c r="K4">
        <v>2</v>
      </c>
    </row>
    <row r="5" spans="1:11" x14ac:dyDescent="0.3">
      <c r="A5" t="s">
        <v>30</v>
      </c>
      <c r="B5" t="s">
        <v>31</v>
      </c>
      <c r="C5" t="s">
        <v>32</v>
      </c>
      <c r="D5" t="s">
        <v>21</v>
      </c>
      <c r="E5" t="s">
        <v>33</v>
      </c>
      <c r="F5">
        <v>8</v>
      </c>
      <c r="G5">
        <v>22824</v>
      </c>
      <c r="H5">
        <v>182592</v>
      </c>
      <c r="I5" t="s">
        <v>34</v>
      </c>
      <c r="J5" t="s">
        <v>35</v>
      </c>
      <c r="K5">
        <v>2</v>
      </c>
    </row>
    <row r="6" spans="1:11" x14ac:dyDescent="0.3">
      <c r="A6" t="s">
        <v>36</v>
      </c>
      <c r="B6" t="s">
        <v>37</v>
      </c>
      <c r="C6" t="s">
        <v>38</v>
      </c>
      <c r="D6" t="s">
        <v>21</v>
      </c>
      <c r="E6" t="s">
        <v>22</v>
      </c>
      <c r="F6">
        <v>6</v>
      </c>
      <c r="G6">
        <v>17852</v>
      </c>
      <c r="H6">
        <v>107112</v>
      </c>
      <c r="I6" t="s">
        <v>16</v>
      </c>
      <c r="J6" t="s">
        <v>29</v>
      </c>
      <c r="K6">
        <v>3</v>
      </c>
    </row>
    <row r="7" spans="1:11" x14ac:dyDescent="0.3">
      <c r="A7" t="s">
        <v>39</v>
      </c>
      <c r="B7" t="s">
        <v>40</v>
      </c>
      <c r="C7" t="s">
        <v>41</v>
      </c>
      <c r="D7" t="s">
        <v>42</v>
      </c>
      <c r="E7" t="s">
        <v>43</v>
      </c>
      <c r="F7">
        <v>9</v>
      </c>
      <c r="G7">
        <v>20205</v>
      </c>
      <c r="H7">
        <v>181845</v>
      </c>
      <c r="I7" t="s">
        <v>23</v>
      </c>
      <c r="J7" t="s">
        <v>44</v>
      </c>
      <c r="K7">
        <v>4</v>
      </c>
    </row>
    <row r="8" spans="1:11" x14ac:dyDescent="0.3">
      <c r="A8" t="s">
        <v>45</v>
      </c>
      <c r="B8" t="s">
        <v>46</v>
      </c>
      <c r="C8" t="s">
        <v>47</v>
      </c>
      <c r="D8" t="s">
        <v>21</v>
      </c>
      <c r="E8" t="s">
        <v>22</v>
      </c>
      <c r="F8">
        <v>7</v>
      </c>
      <c r="G8">
        <v>16632</v>
      </c>
      <c r="H8">
        <v>116424</v>
      </c>
      <c r="I8" t="s">
        <v>48</v>
      </c>
      <c r="J8" t="s">
        <v>29</v>
      </c>
      <c r="K8">
        <v>2</v>
      </c>
    </row>
    <row r="9" spans="1:11" x14ac:dyDescent="0.3">
      <c r="A9" t="s">
        <v>49</v>
      </c>
      <c r="B9" t="s">
        <v>50</v>
      </c>
      <c r="C9" t="s">
        <v>51</v>
      </c>
      <c r="D9" t="s">
        <v>42</v>
      </c>
      <c r="E9" t="s">
        <v>43</v>
      </c>
      <c r="F9">
        <v>2</v>
      </c>
      <c r="G9">
        <v>28881</v>
      </c>
      <c r="H9">
        <v>57762</v>
      </c>
      <c r="I9" t="s">
        <v>16</v>
      </c>
      <c r="J9" t="s">
        <v>52</v>
      </c>
      <c r="K9">
        <v>3</v>
      </c>
    </row>
    <row r="10" spans="1:11" x14ac:dyDescent="0.3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>
        <v>4</v>
      </c>
      <c r="G10">
        <v>19219</v>
      </c>
      <c r="H10">
        <v>76876</v>
      </c>
      <c r="I10" t="s">
        <v>34</v>
      </c>
      <c r="J10" t="s">
        <v>52</v>
      </c>
      <c r="K10">
        <v>4</v>
      </c>
    </row>
    <row r="11" spans="1:11" x14ac:dyDescent="0.3">
      <c r="A11" t="s">
        <v>58</v>
      </c>
      <c r="B11" t="s">
        <v>59</v>
      </c>
      <c r="C11" t="s">
        <v>13</v>
      </c>
      <c r="D11" t="s">
        <v>42</v>
      </c>
      <c r="E11" t="s">
        <v>60</v>
      </c>
      <c r="F11">
        <v>8</v>
      </c>
      <c r="G11">
        <v>279</v>
      </c>
      <c r="H11">
        <v>2232</v>
      </c>
      <c r="I11" t="s">
        <v>34</v>
      </c>
      <c r="J11" t="s">
        <v>35</v>
      </c>
      <c r="K11">
        <v>3</v>
      </c>
    </row>
    <row r="12" spans="1:11" x14ac:dyDescent="0.3">
      <c r="A12" t="s">
        <v>61</v>
      </c>
      <c r="B12" t="s">
        <v>62</v>
      </c>
      <c r="C12" t="s">
        <v>63</v>
      </c>
      <c r="D12" t="s">
        <v>42</v>
      </c>
      <c r="E12" t="s">
        <v>60</v>
      </c>
      <c r="F12">
        <v>1</v>
      </c>
      <c r="G12">
        <v>3968</v>
      </c>
      <c r="H12">
        <v>3968</v>
      </c>
      <c r="I12" t="s">
        <v>64</v>
      </c>
      <c r="J12" t="s">
        <v>65</v>
      </c>
      <c r="K12">
        <v>4</v>
      </c>
    </row>
    <row r="13" spans="1:11" x14ac:dyDescent="0.3">
      <c r="A13" t="s">
        <v>66</v>
      </c>
      <c r="B13" t="s">
        <v>67</v>
      </c>
      <c r="C13" t="s">
        <v>68</v>
      </c>
      <c r="D13" t="s">
        <v>14</v>
      </c>
      <c r="E13" t="s">
        <v>69</v>
      </c>
      <c r="F13">
        <v>10</v>
      </c>
      <c r="G13">
        <v>19501</v>
      </c>
      <c r="H13">
        <v>195010</v>
      </c>
      <c r="I13" t="s">
        <v>48</v>
      </c>
      <c r="J13" t="s">
        <v>70</v>
      </c>
      <c r="K13">
        <v>4</v>
      </c>
    </row>
    <row r="14" spans="1:11" x14ac:dyDescent="0.3">
      <c r="A14" t="s">
        <v>71</v>
      </c>
      <c r="B14" t="s">
        <v>72</v>
      </c>
      <c r="C14" t="s">
        <v>73</v>
      </c>
      <c r="D14" t="s">
        <v>21</v>
      </c>
      <c r="E14" t="s">
        <v>74</v>
      </c>
      <c r="F14">
        <v>3</v>
      </c>
      <c r="G14">
        <v>6631</v>
      </c>
      <c r="H14">
        <v>19893</v>
      </c>
      <c r="I14" t="s">
        <v>64</v>
      </c>
      <c r="J14" t="s">
        <v>44</v>
      </c>
      <c r="K14">
        <v>4</v>
      </c>
    </row>
    <row r="15" spans="1:11" x14ac:dyDescent="0.3">
      <c r="A15" t="s">
        <v>75</v>
      </c>
      <c r="B15" t="s">
        <v>76</v>
      </c>
      <c r="C15" t="s">
        <v>77</v>
      </c>
      <c r="D15" t="s">
        <v>56</v>
      </c>
      <c r="E15" t="s">
        <v>78</v>
      </c>
      <c r="F15">
        <v>7</v>
      </c>
      <c r="G15">
        <v>7273</v>
      </c>
      <c r="H15">
        <v>50911</v>
      </c>
      <c r="I15" t="s">
        <v>23</v>
      </c>
      <c r="J15" t="s">
        <v>35</v>
      </c>
      <c r="K15">
        <v>1</v>
      </c>
    </row>
    <row r="16" spans="1:11" x14ac:dyDescent="0.3">
      <c r="A16" t="s">
        <v>79</v>
      </c>
      <c r="B16" t="s">
        <v>80</v>
      </c>
      <c r="C16" t="s">
        <v>81</v>
      </c>
      <c r="D16" t="s">
        <v>56</v>
      </c>
      <c r="E16" t="s">
        <v>57</v>
      </c>
      <c r="F16">
        <v>5</v>
      </c>
      <c r="G16">
        <v>17200</v>
      </c>
      <c r="H16">
        <v>86000</v>
      </c>
      <c r="I16" t="s">
        <v>48</v>
      </c>
      <c r="J16" t="s">
        <v>52</v>
      </c>
      <c r="K16">
        <v>2</v>
      </c>
    </row>
    <row r="17" spans="1:11" x14ac:dyDescent="0.3">
      <c r="A17" t="s">
        <v>82</v>
      </c>
      <c r="B17" t="s">
        <v>83</v>
      </c>
      <c r="C17" t="s">
        <v>84</v>
      </c>
      <c r="D17" t="s">
        <v>42</v>
      </c>
      <c r="E17" t="s">
        <v>60</v>
      </c>
      <c r="F17">
        <v>3</v>
      </c>
      <c r="G17">
        <v>13201</v>
      </c>
      <c r="H17">
        <v>39603</v>
      </c>
      <c r="I17" t="s">
        <v>48</v>
      </c>
      <c r="J17" t="s">
        <v>44</v>
      </c>
      <c r="K17">
        <v>5</v>
      </c>
    </row>
    <row r="18" spans="1:11" x14ac:dyDescent="0.3">
      <c r="A18" t="s">
        <v>85</v>
      </c>
      <c r="B18" t="s">
        <v>25</v>
      </c>
      <c r="C18" t="s">
        <v>86</v>
      </c>
      <c r="D18" t="s">
        <v>27</v>
      </c>
      <c r="E18" t="s">
        <v>87</v>
      </c>
      <c r="F18">
        <v>5</v>
      </c>
      <c r="G18">
        <v>26527</v>
      </c>
      <c r="H18">
        <v>132635</v>
      </c>
      <c r="I18" t="s">
        <v>48</v>
      </c>
      <c r="J18" t="s">
        <v>65</v>
      </c>
      <c r="K18">
        <v>2</v>
      </c>
    </row>
    <row r="19" spans="1:11" x14ac:dyDescent="0.3">
      <c r="A19" t="s">
        <v>88</v>
      </c>
      <c r="B19" t="s">
        <v>89</v>
      </c>
      <c r="C19" t="s">
        <v>90</v>
      </c>
      <c r="D19" t="s">
        <v>42</v>
      </c>
      <c r="E19" t="s">
        <v>43</v>
      </c>
      <c r="F19">
        <v>8</v>
      </c>
      <c r="G19">
        <v>23622</v>
      </c>
      <c r="H19">
        <v>188976</v>
      </c>
      <c r="I19" t="s">
        <v>64</v>
      </c>
      <c r="J19" t="s">
        <v>91</v>
      </c>
      <c r="K19">
        <v>4</v>
      </c>
    </row>
    <row r="20" spans="1:11" x14ac:dyDescent="0.3">
      <c r="A20" t="s">
        <v>92</v>
      </c>
      <c r="B20" t="s">
        <v>93</v>
      </c>
      <c r="C20" t="s">
        <v>94</v>
      </c>
      <c r="D20" t="s">
        <v>42</v>
      </c>
      <c r="E20" t="s">
        <v>95</v>
      </c>
      <c r="F20">
        <v>8</v>
      </c>
      <c r="G20">
        <v>8755</v>
      </c>
      <c r="H20">
        <v>70040</v>
      </c>
      <c r="I20" t="s">
        <v>23</v>
      </c>
      <c r="J20" t="s">
        <v>29</v>
      </c>
      <c r="K20">
        <v>4</v>
      </c>
    </row>
    <row r="21" spans="1:11" x14ac:dyDescent="0.3">
      <c r="A21" t="s">
        <v>96</v>
      </c>
      <c r="B21" t="s">
        <v>97</v>
      </c>
      <c r="C21" t="s">
        <v>98</v>
      </c>
      <c r="D21" t="s">
        <v>27</v>
      </c>
      <c r="E21" t="s">
        <v>28</v>
      </c>
      <c r="F21">
        <v>6</v>
      </c>
      <c r="G21">
        <v>4210</v>
      </c>
      <c r="H21">
        <v>25260</v>
      </c>
      <c r="I21" t="s">
        <v>23</v>
      </c>
      <c r="J21" t="s">
        <v>70</v>
      </c>
      <c r="K21">
        <v>1</v>
      </c>
    </row>
    <row r="22" spans="1:11" x14ac:dyDescent="0.3">
      <c r="A22" t="s">
        <v>99</v>
      </c>
      <c r="B22" t="s">
        <v>100</v>
      </c>
      <c r="C22" t="s">
        <v>101</v>
      </c>
      <c r="D22" t="s">
        <v>27</v>
      </c>
      <c r="E22" t="s">
        <v>102</v>
      </c>
      <c r="F22">
        <v>3</v>
      </c>
      <c r="G22">
        <v>7168</v>
      </c>
      <c r="H22">
        <v>21504</v>
      </c>
      <c r="I22" t="s">
        <v>34</v>
      </c>
      <c r="J22" t="s">
        <v>35</v>
      </c>
      <c r="K22">
        <v>5</v>
      </c>
    </row>
    <row r="23" spans="1:11" x14ac:dyDescent="0.3">
      <c r="A23" t="s">
        <v>103</v>
      </c>
      <c r="B23" t="s">
        <v>104</v>
      </c>
      <c r="C23" t="s">
        <v>105</v>
      </c>
      <c r="D23" t="s">
        <v>21</v>
      </c>
      <c r="E23" t="s">
        <v>106</v>
      </c>
      <c r="F23">
        <v>10</v>
      </c>
      <c r="G23">
        <v>27886</v>
      </c>
      <c r="H23">
        <v>278860</v>
      </c>
      <c r="I23" t="s">
        <v>34</v>
      </c>
      <c r="J23" t="s">
        <v>91</v>
      </c>
      <c r="K23">
        <v>1</v>
      </c>
    </row>
    <row r="24" spans="1:11" x14ac:dyDescent="0.3">
      <c r="A24" t="s">
        <v>107</v>
      </c>
      <c r="B24" t="s">
        <v>31</v>
      </c>
      <c r="C24" t="s">
        <v>108</v>
      </c>
      <c r="D24" t="s">
        <v>21</v>
      </c>
      <c r="E24" t="s">
        <v>106</v>
      </c>
      <c r="F24">
        <v>1</v>
      </c>
      <c r="G24">
        <v>3599</v>
      </c>
      <c r="H24">
        <v>3599</v>
      </c>
      <c r="I24" t="s">
        <v>34</v>
      </c>
      <c r="J24" t="s">
        <v>70</v>
      </c>
      <c r="K24">
        <v>1</v>
      </c>
    </row>
    <row r="25" spans="1:11" x14ac:dyDescent="0.3">
      <c r="A25" t="s">
        <v>109</v>
      </c>
      <c r="B25" t="s">
        <v>110</v>
      </c>
      <c r="C25" t="s">
        <v>111</v>
      </c>
      <c r="D25" t="s">
        <v>42</v>
      </c>
      <c r="E25" t="s">
        <v>95</v>
      </c>
      <c r="F25">
        <v>10</v>
      </c>
      <c r="G25">
        <v>8459</v>
      </c>
      <c r="H25">
        <v>84590</v>
      </c>
      <c r="I25" t="s">
        <v>16</v>
      </c>
      <c r="J25" t="s">
        <v>44</v>
      </c>
      <c r="K25">
        <v>1</v>
      </c>
    </row>
    <row r="26" spans="1:11" x14ac:dyDescent="0.3">
      <c r="A26" t="s">
        <v>112</v>
      </c>
      <c r="B26" t="s">
        <v>19</v>
      </c>
      <c r="C26" t="s">
        <v>94</v>
      </c>
      <c r="D26" t="s">
        <v>42</v>
      </c>
      <c r="E26" t="s">
        <v>60</v>
      </c>
      <c r="F26">
        <v>7</v>
      </c>
      <c r="G26">
        <v>10375</v>
      </c>
      <c r="H26">
        <v>72625</v>
      </c>
      <c r="I26" t="s">
        <v>23</v>
      </c>
      <c r="J26" t="s">
        <v>91</v>
      </c>
      <c r="K26">
        <v>5</v>
      </c>
    </row>
    <row r="27" spans="1:11" x14ac:dyDescent="0.3">
      <c r="A27" t="s">
        <v>113</v>
      </c>
      <c r="B27" t="s">
        <v>114</v>
      </c>
      <c r="C27" t="s">
        <v>115</v>
      </c>
      <c r="D27" t="s">
        <v>42</v>
      </c>
      <c r="E27" t="s">
        <v>43</v>
      </c>
      <c r="F27">
        <v>7</v>
      </c>
      <c r="G27">
        <v>21263</v>
      </c>
      <c r="H27">
        <v>148841</v>
      </c>
      <c r="I27" t="s">
        <v>23</v>
      </c>
      <c r="J27" t="s">
        <v>52</v>
      </c>
      <c r="K27">
        <v>3</v>
      </c>
    </row>
    <row r="28" spans="1:11" x14ac:dyDescent="0.3">
      <c r="A28" t="s">
        <v>116</v>
      </c>
      <c r="B28" t="s">
        <v>117</v>
      </c>
      <c r="C28" t="s">
        <v>118</v>
      </c>
      <c r="D28" t="s">
        <v>27</v>
      </c>
      <c r="E28" t="s">
        <v>28</v>
      </c>
      <c r="F28">
        <v>5</v>
      </c>
      <c r="G28">
        <v>6733</v>
      </c>
      <c r="H28">
        <v>33665</v>
      </c>
      <c r="I28" t="s">
        <v>34</v>
      </c>
      <c r="J28" t="s">
        <v>17</v>
      </c>
      <c r="K28">
        <v>4</v>
      </c>
    </row>
    <row r="29" spans="1:11" x14ac:dyDescent="0.3">
      <c r="A29" t="s">
        <v>119</v>
      </c>
      <c r="B29" t="s">
        <v>120</v>
      </c>
      <c r="C29" t="s">
        <v>86</v>
      </c>
      <c r="D29" t="s">
        <v>27</v>
      </c>
      <c r="E29" t="s">
        <v>102</v>
      </c>
      <c r="F29">
        <v>7</v>
      </c>
      <c r="G29">
        <v>13093</v>
      </c>
      <c r="H29">
        <v>91651</v>
      </c>
      <c r="I29" t="s">
        <v>34</v>
      </c>
      <c r="J29" t="s">
        <v>65</v>
      </c>
      <c r="K29">
        <v>5</v>
      </c>
    </row>
    <row r="30" spans="1:11" x14ac:dyDescent="0.3">
      <c r="A30" t="s">
        <v>121</v>
      </c>
      <c r="B30" t="s">
        <v>122</v>
      </c>
      <c r="C30" t="s">
        <v>123</v>
      </c>
      <c r="D30" t="s">
        <v>21</v>
      </c>
      <c r="E30" t="s">
        <v>106</v>
      </c>
      <c r="F30">
        <v>7</v>
      </c>
      <c r="G30">
        <v>8484</v>
      </c>
      <c r="H30">
        <v>59388</v>
      </c>
      <c r="I30" t="s">
        <v>48</v>
      </c>
      <c r="J30" t="s">
        <v>35</v>
      </c>
      <c r="K30">
        <v>1</v>
      </c>
    </row>
    <row r="31" spans="1:11" x14ac:dyDescent="0.3">
      <c r="A31" t="s">
        <v>124</v>
      </c>
      <c r="B31" t="s">
        <v>125</v>
      </c>
      <c r="C31" t="s">
        <v>26</v>
      </c>
      <c r="D31" t="s">
        <v>14</v>
      </c>
      <c r="E31" t="s">
        <v>15</v>
      </c>
      <c r="F31">
        <v>3</v>
      </c>
      <c r="G31">
        <v>8683</v>
      </c>
      <c r="H31">
        <v>26049</v>
      </c>
      <c r="I31" t="s">
        <v>34</v>
      </c>
      <c r="J31" t="s">
        <v>65</v>
      </c>
      <c r="K31">
        <v>1</v>
      </c>
    </row>
    <row r="32" spans="1:11" x14ac:dyDescent="0.3">
      <c r="A32" t="s">
        <v>126</v>
      </c>
      <c r="B32" t="s">
        <v>127</v>
      </c>
      <c r="C32" t="s">
        <v>128</v>
      </c>
      <c r="D32" t="s">
        <v>21</v>
      </c>
      <c r="E32" t="s">
        <v>22</v>
      </c>
      <c r="F32">
        <v>4</v>
      </c>
      <c r="G32">
        <v>6372</v>
      </c>
      <c r="H32">
        <v>25488</v>
      </c>
      <c r="I32" t="s">
        <v>23</v>
      </c>
      <c r="J32" t="s">
        <v>91</v>
      </c>
      <c r="K32">
        <v>1</v>
      </c>
    </row>
    <row r="33" spans="1:11" x14ac:dyDescent="0.3">
      <c r="A33" t="s">
        <v>129</v>
      </c>
      <c r="B33" t="s">
        <v>130</v>
      </c>
      <c r="C33" t="s">
        <v>20</v>
      </c>
      <c r="D33" t="s">
        <v>56</v>
      </c>
      <c r="E33" t="s">
        <v>57</v>
      </c>
      <c r="F33">
        <v>7</v>
      </c>
      <c r="G33">
        <v>519</v>
      </c>
      <c r="H33">
        <v>3633</v>
      </c>
      <c r="I33" t="s">
        <v>16</v>
      </c>
      <c r="J33" t="s">
        <v>52</v>
      </c>
      <c r="K33">
        <v>3</v>
      </c>
    </row>
    <row r="34" spans="1:11" x14ac:dyDescent="0.3">
      <c r="A34" t="s">
        <v>131</v>
      </c>
      <c r="B34" t="s">
        <v>46</v>
      </c>
      <c r="C34" t="s">
        <v>132</v>
      </c>
      <c r="D34" t="s">
        <v>56</v>
      </c>
      <c r="E34" t="s">
        <v>133</v>
      </c>
      <c r="F34">
        <v>6</v>
      </c>
      <c r="G34">
        <v>5888</v>
      </c>
      <c r="H34">
        <v>35328</v>
      </c>
      <c r="I34" t="s">
        <v>48</v>
      </c>
      <c r="J34" t="s">
        <v>91</v>
      </c>
      <c r="K34">
        <v>1</v>
      </c>
    </row>
    <row r="35" spans="1:11" x14ac:dyDescent="0.3">
      <c r="A35" t="s">
        <v>134</v>
      </c>
      <c r="B35" t="s">
        <v>135</v>
      </c>
      <c r="C35" t="s">
        <v>123</v>
      </c>
      <c r="D35" t="s">
        <v>14</v>
      </c>
      <c r="E35" t="s">
        <v>69</v>
      </c>
      <c r="F35">
        <v>9</v>
      </c>
      <c r="G35">
        <v>5935</v>
      </c>
      <c r="H35">
        <v>53415</v>
      </c>
      <c r="I35" t="s">
        <v>48</v>
      </c>
      <c r="J35" t="s">
        <v>136</v>
      </c>
      <c r="K35">
        <v>1</v>
      </c>
    </row>
    <row r="36" spans="1:11" x14ac:dyDescent="0.3">
      <c r="A36" t="s">
        <v>137</v>
      </c>
      <c r="B36" t="s">
        <v>138</v>
      </c>
      <c r="C36" t="s">
        <v>139</v>
      </c>
      <c r="D36" t="s">
        <v>14</v>
      </c>
      <c r="E36" t="s">
        <v>140</v>
      </c>
      <c r="F36">
        <v>7</v>
      </c>
      <c r="G36">
        <v>22253</v>
      </c>
      <c r="H36">
        <v>155771</v>
      </c>
      <c r="I36" t="s">
        <v>23</v>
      </c>
      <c r="J36" t="s">
        <v>136</v>
      </c>
      <c r="K36">
        <v>5</v>
      </c>
    </row>
    <row r="37" spans="1:11" x14ac:dyDescent="0.3">
      <c r="A37" t="s">
        <v>141</v>
      </c>
      <c r="B37" t="s">
        <v>142</v>
      </c>
      <c r="C37" t="s">
        <v>143</v>
      </c>
      <c r="D37" t="s">
        <v>14</v>
      </c>
      <c r="E37" t="s">
        <v>140</v>
      </c>
      <c r="F37">
        <v>5</v>
      </c>
      <c r="G37">
        <v>5488</v>
      </c>
      <c r="H37">
        <v>27440</v>
      </c>
      <c r="I37" t="s">
        <v>64</v>
      </c>
      <c r="J37" t="s">
        <v>17</v>
      </c>
      <c r="K37">
        <v>5</v>
      </c>
    </row>
    <row r="38" spans="1:11" x14ac:dyDescent="0.3">
      <c r="A38" t="s">
        <v>144</v>
      </c>
      <c r="B38" t="s">
        <v>145</v>
      </c>
      <c r="C38" t="s">
        <v>146</v>
      </c>
      <c r="D38" t="s">
        <v>27</v>
      </c>
      <c r="E38" t="s">
        <v>87</v>
      </c>
      <c r="F38">
        <v>8</v>
      </c>
      <c r="G38">
        <v>21048</v>
      </c>
      <c r="H38">
        <v>168384</v>
      </c>
      <c r="I38" t="s">
        <v>16</v>
      </c>
      <c r="J38" t="s">
        <v>44</v>
      </c>
      <c r="K38">
        <v>4</v>
      </c>
    </row>
    <row r="39" spans="1:11" x14ac:dyDescent="0.3">
      <c r="A39" t="s">
        <v>147</v>
      </c>
      <c r="B39" t="s">
        <v>148</v>
      </c>
      <c r="C39" t="s">
        <v>132</v>
      </c>
      <c r="D39" t="s">
        <v>21</v>
      </c>
      <c r="E39" t="s">
        <v>149</v>
      </c>
      <c r="F39">
        <v>10</v>
      </c>
      <c r="G39">
        <v>16618</v>
      </c>
      <c r="H39">
        <v>166180</v>
      </c>
      <c r="I39" t="s">
        <v>34</v>
      </c>
      <c r="J39" t="s">
        <v>150</v>
      </c>
      <c r="K39">
        <v>1</v>
      </c>
    </row>
    <row r="40" spans="1:11" x14ac:dyDescent="0.3">
      <c r="A40" t="s">
        <v>151</v>
      </c>
      <c r="B40" t="s">
        <v>152</v>
      </c>
      <c r="C40" t="s">
        <v>153</v>
      </c>
      <c r="D40" t="s">
        <v>14</v>
      </c>
      <c r="E40" t="s">
        <v>15</v>
      </c>
      <c r="F40">
        <v>3</v>
      </c>
      <c r="G40">
        <v>28130</v>
      </c>
      <c r="H40">
        <v>84390</v>
      </c>
      <c r="I40" t="s">
        <v>48</v>
      </c>
      <c r="J40" t="s">
        <v>44</v>
      </c>
      <c r="K40">
        <v>1</v>
      </c>
    </row>
    <row r="41" spans="1:11" x14ac:dyDescent="0.3">
      <c r="A41" t="s">
        <v>154</v>
      </c>
      <c r="B41" t="s">
        <v>155</v>
      </c>
      <c r="C41" t="s">
        <v>156</v>
      </c>
      <c r="D41" t="s">
        <v>14</v>
      </c>
      <c r="E41" t="s">
        <v>140</v>
      </c>
      <c r="F41">
        <v>10</v>
      </c>
      <c r="G41">
        <v>8395</v>
      </c>
      <c r="H41">
        <v>83950</v>
      </c>
      <c r="I41" t="s">
        <v>16</v>
      </c>
      <c r="J41" t="s">
        <v>150</v>
      </c>
      <c r="K41">
        <v>4</v>
      </c>
    </row>
    <row r="42" spans="1:11" x14ac:dyDescent="0.3">
      <c r="A42" t="s">
        <v>157</v>
      </c>
      <c r="B42" t="s">
        <v>158</v>
      </c>
      <c r="C42" t="s">
        <v>159</v>
      </c>
      <c r="D42" t="s">
        <v>14</v>
      </c>
      <c r="E42" t="s">
        <v>140</v>
      </c>
      <c r="F42">
        <v>7</v>
      </c>
      <c r="G42">
        <v>14496</v>
      </c>
      <c r="H42">
        <v>101472</v>
      </c>
      <c r="I42" t="s">
        <v>48</v>
      </c>
      <c r="J42" t="s">
        <v>17</v>
      </c>
      <c r="K42">
        <v>1</v>
      </c>
    </row>
    <row r="43" spans="1:11" x14ac:dyDescent="0.3">
      <c r="A43" t="s">
        <v>160</v>
      </c>
      <c r="B43" t="s">
        <v>125</v>
      </c>
      <c r="C43" t="s">
        <v>161</v>
      </c>
      <c r="D43" t="s">
        <v>14</v>
      </c>
      <c r="E43" t="s">
        <v>15</v>
      </c>
      <c r="F43">
        <v>7</v>
      </c>
      <c r="G43">
        <v>22211</v>
      </c>
      <c r="H43">
        <v>155477</v>
      </c>
      <c r="I43" t="s">
        <v>64</v>
      </c>
      <c r="J43" t="s">
        <v>65</v>
      </c>
      <c r="K43">
        <v>1</v>
      </c>
    </row>
    <row r="44" spans="1:11" x14ac:dyDescent="0.3">
      <c r="A44" t="s">
        <v>162</v>
      </c>
      <c r="B44" t="s">
        <v>163</v>
      </c>
      <c r="C44" t="s">
        <v>164</v>
      </c>
      <c r="D44" t="s">
        <v>14</v>
      </c>
      <c r="E44" t="s">
        <v>15</v>
      </c>
      <c r="F44">
        <v>2</v>
      </c>
      <c r="G44">
        <v>11900</v>
      </c>
      <c r="H44">
        <v>23800</v>
      </c>
      <c r="I44" t="s">
        <v>16</v>
      </c>
      <c r="J44" t="s">
        <v>136</v>
      </c>
      <c r="K44">
        <v>4</v>
      </c>
    </row>
    <row r="45" spans="1:11" x14ac:dyDescent="0.3">
      <c r="A45" t="s">
        <v>165</v>
      </c>
      <c r="B45" t="s">
        <v>40</v>
      </c>
      <c r="C45" t="s">
        <v>166</v>
      </c>
      <c r="D45" t="s">
        <v>14</v>
      </c>
      <c r="E45" t="s">
        <v>167</v>
      </c>
      <c r="F45">
        <v>6</v>
      </c>
      <c r="G45">
        <v>19934</v>
      </c>
      <c r="H45">
        <v>119604</v>
      </c>
      <c r="I45" t="s">
        <v>34</v>
      </c>
      <c r="J45" t="s">
        <v>65</v>
      </c>
      <c r="K45">
        <v>4</v>
      </c>
    </row>
    <row r="46" spans="1:11" x14ac:dyDescent="0.3">
      <c r="A46" t="s">
        <v>168</v>
      </c>
      <c r="B46" t="s">
        <v>169</v>
      </c>
      <c r="C46" t="s">
        <v>170</v>
      </c>
      <c r="D46" t="s">
        <v>21</v>
      </c>
      <c r="E46" t="s">
        <v>106</v>
      </c>
      <c r="F46">
        <v>3</v>
      </c>
      <c r="G46">
        <v>13819</v>
      </c>
      <c r="H46">
        <v>41457</v>
      </c>
      <c r="I46" t="s">
        <v>23</v>
      </c>
      <c r="J46" t="s">
        <v>136</v>
      </c>
      <c r="K46">
        <v>4</v>
      </c>
    </row>
    <row r="47" spans="1:11" x14ac:dyDescent="0.3">
      <c r="A47" t="s">
        <v>171</v>
      </c>
      <c r="B47" t="s">
        <v>19</v>
      </c>
      <c r="C47" t="s">
        <v>172</v>
      </c>
      <c r="D47" t="s">
        <v>14</v>
      </c>
      <c r="E47" t="s">
        <v>15</v>
      </c>
      <c r="F47">
        <v>3</v>
      </c>
      <c r="G47">
        <v>8697</v>
      </c>
      <c r="H47">
        <v>26091</v>
      </c>
      <c r="I47" t="s">
        <v>48</v>
      </c>
      <c r="J47" t="s">
        <v>136</v>
      </c>
      <c r="K47">
        <v>4</v>
      </c>
    </row>
    <row r="48" spans="1:11" x14ac:dyDescent="0.3">
      <c r="A48" t="s">
        <v>173</v>
      </c>
      <c r="B48" t="s">
        <v>83</v>
      </c>
      <c r="C48" t="s">
        <v>174</v>
      </c>
      <c r="D48" t="s">
        <v>56</v>
      </c>
      <c r="E48" t="s">
        <v>78</v>
      </c>
      <c r="F48">
        <v>2</v>
      </c>
      <c r="G48">
        <v>1038</v>
      </c>
      <c r="H48">
        <v>2076</v>
      </c>
      <c r="I48" t="s">
        <v>48</v>
      </c>
      <c r="J48" t="s">
        <v>29</v>
      </c>
      <c r="K48">
        <v>2</v>
      </c>
    </row>
    <row r="49" spans="1:11" x14ac:dyDescent="0.3">
      <c r="A49" t="s">
        <v>175</v>
      </c>
      <c r="B49" t="s">
        <v>176</v>
      </c>
      <c r="C49" t="s">
        <v>177</v>
      </c>
      <c r="D49" t="s">
        <v>56</v>
      </c>
      <c r="E49" t="s">
        <v>178</v>
      </c>
      <c r="F49">
        <v>7</v>
      </c>
      <c r="G49">
        <v>11648</v>
      </c>
      <c r="H49">
        <v>81536</v>
      </c>
      <c r="I49" t="s">
        <v>34</v>
      </c>
      <c r="J49" t="s">
        <v>150</v>
      </c>
      <c r="K49">
        <v>2</v>
      </c>
    </row>
    <row r="50" spans="1:11" x14ac:dyDescent="0.3">
      <c r="A50" t="s">
        <v>179</v>
      </c>
      <c r="B50" t="s">
        <v>180</v>
      </c>
      <c r="C50" t="s">
        <v>161</v>
      </c>
      <c r="D50" t="s">
        <v>42</v>
      </c>
      <c r="E50" t="s">
        <v>43</v>
      </c>
      <c r="F50">
        <v>7</v>
      </c>
      <c r="G50">
        <v>4843</v>
      </c>
      <c r="H50">
        <v>33901</v>
      </c>
      <c r="I50" t="s">
        <v>48</v>
      </c>
      <c r="J50" t="s">
        <v>44</v>
      </c>
      <c r="K50">
        <v>4</v>
      </c>
    </row>
    <row r="51" spans="1:11" x14ac:dyDescent="0.3">
      <c r="A51" t="s">
        <v>181</v>
      </c>
      <c r="B51" t="s">
        <v>182</v>
      </c>
      <c r="C51" t="s">
        <v>183</v>
      </c>
      <c r="D51" t="s">
        <v>42</v>
      </c>
      <c r="E51" t="s">
        <v>184</v>
      </c>
      <c r="F51">
        <v>10</v>
      </c>
      <c r="G51">
        <v>26881</v>
      </c>
      <c r="H51">
        <v>268810</v>
      </c>
      <c r="I51" t="s">
        <v>48</v>
      </c>
      <c r="J51" t="s">
        <v>136</v>
      </c>
      <c r="K51">
        <v>5</v>
      </c>
    </row>
    <row r="52" spans="1:11" x14ac:dyDescent="0.3">
      <c r="A52" t="s">
        <v>185</v>
      </c>
      <c r="B52" t="s">
        <v>37</v>
      </c>
      <c r="C52" t="s">
        <v>186</v>
      </c>
      <c r="D52" t="s">
        <v>14</v>
      </c>
      <c r="E52" t="s">
        <v>140</v>
      </c>
      <c r="F52">
        <v>9</v>
      </c>
      <c r="G52">
        <v>26494</v>
      </c>
      <c r="H52">
        <v>238446</v>
      </c>
      <c r="I52" t="s">
        <v>48</v>
      </c>
      <c r="J52" t="s">
        <v>44</v>
      </c>
      <c r="K52">
        <v>3</v>
      </c>
    </row>
    <row r="53" spans="1:11" x14ac:dyDescent="0.3">
      <c r="A53" t="s">
        <v>187</v>
      </c>
      <c r="B53" t="s">
        <v>188</v>
      </c>
      <c r="C53" t="s">
        <v>189</v>
      </c>
      <c r="D53" t="s">
        <v>42</v>
      </c>
      <c r="E53" t="s">
        <v>95</v>
      </c>
      <c r="F53">
        <v>3</v>
      </c>
      <c r="G53">
        <v>14003</v>
      </c>
      <c r="H53">
        <v>42009</v>
      </c>
      <c r="I53" t="s">
        <v>34</v>
      </c>
      <c r="J53" t="s">
        <v>52</v>
      </c>
      <c r="K53">
        <v>5</v>
      </c>
    </row>
    <row r="54" spans="1:11" x14ac:dyDescent="0.3">
      <c r="A54" t="s">
        <v>190</v>
      </c>
      <c r="B54" t="s">
        <v>191</v>
      </c>
      <c r="C54" t="s">
        <v>108</v>
      </c>
      <c r="D54" t="s">
        <v>56</v>
      </c>
      <c r="E54" t="s">
        <v>178</v>
      </c>
      <c r="F54">
        <v>8</v>
      </c>
      <c r="G54">
        <v>28812</v>
      </c>
      <c r="H54">
        <v>230496</v>
      </c>
      <c r="I54" t="s">
        <v>34</v>
      </c>
      <c r="J54" t="s">
        <v>29</v>
      </c>
      <c r="K54">
        <v>5</v>
      </c>
    </row>
    <row r="55" spans="1:11" x14ac:dyDescent="0.3">
      <c r="A55" t="s">
        <v>192</v>
      </c>
      <c r="B55" t="s">
        <v>193</v>
      </c>
      <c r="C55" t="s">
        <v>194</v>
      </c>
      <c r="D55" t="s">
        <v>42</v>
      </c>
      <c r="E55" t="s">
        <v>184</v>
      </c>
      <c r="F55">
        <v>7</v>
      </c>
      <c r="G55">
        <v>4809</v>
      </c>
      <c r="H55">
        <v>33663</v>
      </c>
      <c r="I55" t="s">
        <v>16</v>
      </c>
      <c r="J55" t="s">
        <v>17</v>
      </c>
      <c r="K55">
        <v>2</v>
      </c>
    </row>
    <row r="56" spans="1:11" x14ac:dyDescent="0.3">
      <c r="A56" t="s">
        <v>195</v>
      </c>
      <c r="B56" t="s">
        <v>50</v>
      </c>
      <c r="C56" t="s">
        <v>196</v>
      </c>
      <c r="D56" t="s">
        <v>14</v>
      </c>
      <c r="E56" t="s">
        <v>167</v>
      </c>
      <c r="F56">
        <v>1</v>
      </c>
      <c r="G56">
        <v>28957</v>
      </c>
      <c r="H56">
        <v>28957</v>
      </c>
      <c r="I56" t="s">
        <v>48</v>
      </c>
      <c r="J56" t="s">
        <v>65</v>
      </c>
      <c r="K56">
        <v>4</v>
      </c>
    </row>
    <row r="57" spans="1:11" x14ac:dyDescent="0.3">
      <c r="A57" t="s">
        <v>197</v>
      </c>
      <c r="B57" t="s">
        <v>198</v>
      </c>
      <c r="C57" t="s">
        <v>199</v>
      </c>
      <c r="D57" t="s">
        <v>56</v>
      </c>
      <c r="E57" t="s">
        <v>78</v>
      </c>
      <c r="F57">
        <v>5</v>
      </c>
      <c r="G57">
        <v>18215</v>
      </c>
      <c r="H57">
        <v>91075</v>
      </c>
      <c r="I57" t="s">
        <v>48</v>
      </c>
      <c r="J57" t="s">
        <v>52</v>
      </c>
      <c r="K57">
        <v>1</v>
      </c>
    </row>
    <row r="58" spans="1:11" x14ac:dyDescent="0.3">
      <c r="A58" t="s">
        <v>200</v>
      </c>
      <c r="B58" t="s">
        <v>201</v>
      </c>
      <c r="C58" t="s">
        <v>202</v>
      </c>
      <c r="D58" t="s">
        <v>14</v>
      </c>
      <c r="E58" t="s">
        <v>140</v>
      </c>
      <c r="F58">
        <v>9</v>
      </c>
      <c r="G58">
        <v>779</v>
      </c>
      <c r="H58">
        <v>7011</v>
      </c>
      <c r="I58" t="s">
        <v>16</v>
      </c>
      <c r="J58" t="s">
        <v>136</v>
      </c>
      <c r="K58">
        <v>5</v>
      </c>
    </row>
    <row r="59" spans="1:11" x14ac:dyDescent="0.3">
      <c r="A59" t="s">
        <v>203</v>
      </c>
      <c r="B59" t="s">
        <v>80</v>
      </c>
      <c r="C59" t="s">
        <v>98</v>
      </c>
      <c r="D59" t="s">
        <v>27</v>
      </c>
      <c r="E59" t="s">
        <v>28</v>
      </c>
      <c r="F59">
        <v>7</v>
      </c>
      <c r="G59">
        <v>25720</v>
      </c>
      <c r="H59">
        <v>180040</v>
      </c>
      <c r="I59" t="s">
        <v>64</v>
      </c>
      <c r="J59" t="s">
        <v>136</v>
      </c>
      <c r="K59">
        <v>1</v>
      </c>
    </row>
    <row r="60" spans="1:11" x14ac:dyDescent="0.3">
      <c r="A60" t="s">
        <v>204</v>
      </c>
      <c r="B60" t="s">
        <v>205</v>
      </c>
      <c r="C60" t="s">
        <v>206</v>
      </c>
      <c r="D60" t="s">
        <v>27</v>
      </c>
      <c r="E60" t="s">
        <v>207</v>
      </c>
      <c r="F60">
        <v>9</v>
      </c>
      <c r="G60">
        <v>25254</v>
      </c>
      <c r="H60">
        <v>227286</v>
      </c>
      <c r="I60" t="s">
        <v>16</v>
      </c>
      <c r="J60" t="s">
        <v>136</v>
      </c>
      <c r="K60">
        <v>3</v>
      </c>
    </row>
    <row r="61" spans="1:11" x14ac:dyDescent="0.3">
      <c r="A61" t="s">
        <v>208</v>
      </c>
      <c r="B61" t="s">
        <v>209</v>
      </c>
      <c r="C61" t="s">
        <v>210</v>
      </c>
      <c r="D61" t="s">
        <v>14</v>
      </c>
      <c r="E61" t="s">
        <v>167</v>
      </c>
      <c r="F61">
        <v>10</v>
      </c>
      <c r="G61">
        <v>17840</v>
      </c>
      <c r="H61">
        <v>178400</v>
      </c>
      <c r="I61" t="s">
        <v>16</v>
      </c>
      <c r="J61" t="s">
        <v>91</v>
      </c>
      <c r="K61">
        <v>2</v>
      </c>
    </row>
    <row r="62" spans="1:11" x14ac:dyDescent="0.3">
      <c r="A62" t="s">
        <v>211</v>
      </c>
      <c r="B62" t="s">
        <v>100</v>
      </c>
      <c r="C62" t="s">
        <v>212</v>
      </c>
      <c r="D62" t="s">
        <v>42</v>
      </c>
      <c r="E62" t="s">
        <v>184</v>
      </c>
      <c r="F62">
        <v>2</v>
      </c>
      <c r="G62">
        <v>9176</v>
      </c>
      <c r="H62">
        <v>18352</v>
      </c>
      <c r="I62" t="s">
        <v>64</v>
      </c>
      <c r="J62" t="s">
        <v>70</v>
      </c>
      <c r="K62">
        <v>4</v>
      </c>
    </row>
    <row r="63" spans="1:11" x14ac:dyDescent="0.3">
      <c r="A63" t="s">
        <v>213</v>
      </c>
      <c r="B63" t="s">
        <v>214</v>
      </c>
      <c r="C63" t="s">
        <v>86</v>
      </c>
      <c r="D63" t="s">
        <v>14</v>
      </c>
      <c r="E63" t="s">
        <v>69</v>
      </c>
      <c r="F63">
        <v>8</v>
      </c>
      <c r="G63">
        <v>15890</v>
      </c>
      <c r="H63">
        <v>127120</v>
      </c>
      <c r="I63" t="s">
        <v>16</v>
      </c>
      <c r="J63" t="s">
        <v>35</v>
      </c>
      <c r="K63">
        <v>4</v>
      </c>
    </row>
    <row r="64" spans="1:11" x14ac:dyDescent="0.3">
      <c r="A64" t="s">
        <v>215</v>
      </c>
      <c r="B64" t="s">
        <v>216</v>
      </c>
      <c r="C64" t="s">
        <v>156</v>
      </c>
      <c r="D64" t="s">
        <v>27</v>
      </c>
      <c r="E64" t="s">
        <v>87</v>
      </c>
      <c r="F64">
        <v>9</v>
      </c>
      <c r="G64">
        <v>24796</v>
      </c>
      <c r="H64">
        <v>223164</v>
      </c>
      <c r="I64" t="s">
        <v>48</v>
      </c>
      <c r="J64" t="s">
        <v>17</v>
      </c>
      <c r="K64">
        <v>2</v>
      </c>
    </row>
    <row r="65" spans="1:11" x14ac:dyDescent="0.3">
      <c r="A65" t="s">
        <v>217</v>
      </c>
      <c r="B65" t="s">
        <v>54</v>
      </c>
      <c r="C65" t="s">
        <v>218</v>
      </c>
      <c r="D65" t="s">
        <v>14</v>
      </c>
      <c r="E65" t="s">
        <v>15</v>
      </c>
      <c r="F65">
        <v>7</v>
      </c>
      <c r="G65">
        <v>1452</v>
      </c>
      <c r="H65">
        <v>10164</v>
      </c>
      <c r="I65" t="s">
        <v>16</v>
      </c>
      <c r="J65" t="s">
        <v>44</v>
      </c>
      <c r="K65">
        <v>2</v>
      </c>
    </row>
    <row r="66" spans="1:11" x14ac:dyDescent="0.3">
      <c r="A66" t="s">
        <v>219</v>
      </c>
      <c r="B66" t="s">
        <v>19</v>
      </c>
      <c r="C66" t="s">
        <v>220</v>
      </c>
      <c r="D66" t="s">
        <v>42</v>
      </c>
      <c r="E66" t="s">
        <v>60</v>
      </c>
      <c r="F66">
        <v>5</v>
      </c>
      <c r="G66">
        <v>14057</v>
      </c>
      <c r="H66">
        <v>70285</v>
      </c>
      <c r="I66" t="s">
        <v>16</v>
      </c>
      <c r="J66" t="s">
        <v>17</v>
      </c>
      <c r="K66">
        <v>4</v>
      </c>
    </row>
    <row r="67" spans="1:11" x14ac:dyDescent="0.3">
      <c r="A67" t="s">
        <v>221</v>
      </c>
      <c r="B67" t="s">
        <v>145</v>
      </c>
      <c r="C67" t="s">
        <v>222</v>
      </c>
      <c r="D67" t="s">
        <v>21</v>
      </c>
      <c r="E67" t="s">
        <v>22</v>
      </c>
      <c r="F67">
        <v>7</v>
      </c>
      <c r="G67">
        <v>4415</v>
      </c>
      <c r="H67">
        <v>30905</v>
      </c>
      <c r="I67" t="s">
        <v>48</v>
      </c>
      <c r="J67" t="s">
        <v>150</v>
      </c>
      <c r="K67">
        <v>5</v>
      </c>
    </row>
    <row r="68" spans="1:11" x14ac:dyDescent="0.3">
      <c r="A68" t="s">
        <v>223</v>
      </c>
      <c r="B68" t="s">
        <v>117</v>
      </c>
      <c r="C68" t="s">
        <v>224</v>
      </c>
      <c r="D68" t="s">
        <v>21</v>
      </c>
      <c r="E68" t="s">
        <v>33</v>
      </c>
      <c r="F68">
        <v>7</v>
      </c>
      <c r="G68">
        <v>4264</v>
      </c>
      <c r="H68">
        <v>29848</v>
      </c>
      <c r="I68" t="s">
        <v>34</v>
      </c>
      <c r="J68" t="s">
        <v>29</v>
      </c>
      <c r="K68">
        <v>4</v>
      </c>
    </row>
    <row r="69" spans="1:11" x14ac:dyDescent="0.3">
      <c r="A69" t="s">
        <v>225</v>
      </c>
      <c r="B69" t="s">
        <v>120</v>
      </c>
      <c r="C69" t="s">
        <v>132</v>
      </c>
      <c r="D69" t="s">
        <v>14</v>
      </c>
      <c r="E69" t="s">
        <v>15</v>
      </c>
      <c r="F69">
        <v>4</v>
      </c>
      <c r="G69">
        <v>28223</v>
      </c>
      <c r="H69">
        <v>112892</v>
      </c>
      <c r="I69" t="s">
        <v>34</v>
      </c>
      <c r="J69" t="s">
        <v>52</v>
      </c>
      <c r="K69">
        <v>3</v>
      </c>
    </row>
    <row r="70" spans="1:11" x14ac:dyDescent="0.3">
      <c r="A70" t="s">
        <v>226</v>
      </c>
      <c r="B70" t="s">
        <v>122</v>
      </c>
      <c r="C70" t="s">
        <v>227</v>
      </c>
      <c r="D70" t="s">
        <v>21</v>
      </c>
      <c r="E70" t="s">
        <v>149</v>
      </c>
      <c r="F70">
        <v>1</v>
      </c>
      <c r="G70">
        <v>1451</v>
      </c>
      <c r="H70">
        <v>1451</v>
      </c>
      <c r="I70" t="s">
        <v>48</v>
      </c>
      <c r="J70" t="s">
        <v>70</v>
      </c>
      <c r="K70">
        <v>4</v>
      </c>
    </row>
    <row r="71" spans="1:11" x14ac:dyDescent="0.3">
      <c r="A71" t="s">
        <v>228</v>
      </c>
      <c r="B71" t="s">
        <v>229</v>
      </c>
      <c r="C71" t="s">
        <v>230</v>
      </c>
      <c r="D71" t="s">
        <v>14</v>
      </c>
      <c r="E71" t="s">
        <v>69</v>
      </c>
      <c r="F71">
        <v>10</v>
      </c>
      <c r="G71">
        <v>20193</v>
      </c>
      <c r="H71">
        <v>201930</v>
      </c>
      <c r="I71" t="s">
        <v>48</v>
      </c>
      <c r="J71" t="s">
        <v>44</v>
      </c>
      <c r="K71">
        <v>3</v>
      </c>
    </row>
    <row r="72" spans="1:11" x14ac:dyDescent="0.3">
      <c r="A72" t="s">
        <v>231</v>
      </c>
      <c r="B72" t="s">
        <v>232</v>
      </c>
      <c r="C72" t="s">
        <v>233</v>
      </c>
      <c r="D72" t="s">
        <v>27</v>
      </c>
      <c r="E72" t="s">
        <v>207</v>
      </c>
      <c r="F72">
        <v>10</v>
      </c>
      <c r="G72">
        <v>12782</v>
      </c>
      <c r="H72">
        <v>127820</v>
      </c>
      <c r="I72" t="s">
        <v>34</v>
      </c>
      <c r="J72" t="s">
        <v>65</v>
      </c>
      <c r="K72">
        <v>5</v>
      </c>
    </row>
    <row r="73" spans="1:11" x14ac:dyDescent="0.3">
      <c r="A73" t="s">
        <v>234</v>
      </c>
      <c r="B73" t="s">
        <v>193</v>
      </c>
      <c r="C73" t="s">
        <v>235</v>
      </c>
      <c r="D73" t="s">
        <v>56</v>
      </c>
      <c r="E73" t="s">
        <v>78</v>
      </c>
      <c r="F73">
        <v>4</v>
      </c>
      <c r="G73">
        <v>1844</v>
      </c>
      <c r="H73">
        <v>7376</v>
      </c>
      <c r="I73" t="s">
        <v>23</v>
      </c>
      <c r="J73" t="s">
        <v>35</v>
      </c>
      <c r="K73">
        <v>5</v>
      </c>
    </row>
    <row r="74" spans="1:11" x14ac:dyDescent="0.3">
      <c r="A74" t="s">
        <v>236</v>
      </c>
      <c r="B74" t="s">
        <v>237</v>
      </c>
      <c r="C74" t="s">
        <v>238</v>
      </c>
      <c r="D74" t="s">
        <v>21</v>
      </c>
      <c r="E74" t="s">
        <v>106</v>
      </c>
      <c r="F74">
        <v>1</v>
      </c>
      <c r="G74">
        <v>24498</v>
      </c>
      <c r="H74">
        <v>24498</v>
      </c>
      <c r="I74" t="s">
        <v>34</v>
      </c>
      <c r="J74" t="s">
        <v>65</v>
      </c>
      <c r="K74">
        <v>2</v>
      </c>
    </row>
    <row r="75" spans="1:11" x14ac:dyDescent="0.3">
      <c r="A75" t="s">
        <v>239</v>
      </c>
      <c r="B75" t="s">
        <v>100</v>
      </c>
      <c r="C75" t="s">
        <v>240</v>
      </c>
      <c r="D75" t="s">
        <v>21</v>
      </c>
      <c r="E75" t="s">
        <v>149</v>
      </c>
      <c r="F75">
        <v>8</v>
      </c>
      <c r="G75">
        <v>18696</v>
      </c>
      <c r="H75">
        <v>149568</v>
      </c>
      <c r="I75" t="s">
        <v>64</v>
      </c>
      <c r="J75" t="s">
        <v>91</v>
      </c>
      <c r="K75">
        <v>4</v>
      </c>
    </row>
    <row r="76" spans="1:11" x14ac:dyDescent="0.3">
      <c r="A76" t="s">
        <v>241</v>
      </c>
      <c r="B76" t="s">
        <v>100</v>
      </c>
      <c r="C76" t="s">
        <v>13</v>
      </c>
      <c r="D76" t="s">
        <v>14</v>
      </c>
      <c r="E76" t="s">
        <v>140</v>
      </c>
      <c r="F76">
        <v>9</v>
      </c>
      <c r="G76">
        <v>24572</v>
      </c>
      <c r="H76">
        <v>221148</v>
      </c>
      <c r="I76" t="s">
        <v>64</v>
      </c>
      <c r="J76" t="s">
        <v>150</v>
      </c>
      <c r="K76">
        <v>4</v>
      </c>
    </row>
    <row r="77" spans="1:11" x14ac:dyDescent="0.3">
      <c r="A77" t="s">
        <v>242</v>
      </c>
      <c r="B77" t="s">
        <v>201</v>
      </c>
      <c r="C77" t="s">
        <v>243</v>
      </c>
      <c r="D77" t="s">
        <v>42</v>
      </c>
      <c r="E77" t="s">
        <v>43</v>
      </c>
      <c r="F77">
        <v>6</v>
      </c>
      <c r="G77">
        <v>18770</v>
      </c>
      <c r="H77">
        <v>112620</v>
      </c>
      <c r="I77" t="s">
        <v>16</v>
      </c>
      <c r="J77" t="s">
        <v>70</v>
      </c>
      <c r="K77">
        <v>4</v>
      </c>
    </row>
    <row r="78" spans="1:11" x14ac:dyDescent="0.3">
      <c r="A78" t="s">
        <v>244</v>
      </c>
      <c r="B78" t="s">
        <v>130</v>
      </c>
      <c r="C78" t="s">
        <v>245</v>
      </c>
      <c r="D78" t="s">
        <v>42</v>
      </c>
      <c r="E78" t="s">
        <v>60</v>
      </c>
      <c r="F78">
        <v>7</v>
      </c>
      <c r="G78">
        <v>1030</v>
      </c>
      <c r="H78">
        <v>7210</v>
      </c>
      <c r="I78" t="s">
        <v>16</v>
      </c>
      <c r="J78" t="s">
        <v>29</v>
      </c>
      <c r="K78">
        <v>1</v>
      </c>
    </row>
    <row r="79" spans="1:11" x14ac:dyDescent="0.3">
      <c r="A79" t="s">
        <v>246</v>
      </c>
      <c r="B79" t="s">
        <v>247</v>
      </c>
      <c r="C79" t="s">
        <v>248</v>
      </c>
      <c r="D79" t="s">
        <v>21</v>
      </c>
      <c r="E79" t="s">
        <v>106</v>
      </c>
      <c r="F79">
        <v>4</v>
      </c>
      <c r="G79">
        <v>2206</v>
      </c>
      <c r="H79">
        <v>8824</v>
      </c>
      <c r="I79" t="s">
        <v>34</v>
      </c>
      <c r="J79" t="s">
        <v>91</v>
      </c>
      <c r="K79">
        <v>4</v>
      </c>
    </row>
    <row r="80" spans="1:11" x14ac:dyDescent="0.3">
      <c r="A80" t="s">
        <v>249</v>
      </c>
      <c r="B80" t="s">
        <v>176</v>
      </c>
      <c r="C80" t="s">
        <v>250</v>
      </c>
      <c r="D80" t="s">
        <v>21</v>
      </c>
      <c r="E80" t="s">
        <v>33</v>
      </c>
      <c r="F80">
        <v>6</v>
      </c>
      <c r="G80">
        <v>13040</v>
      </c>
      <c r="H80">
        <v>78240</v>
      </c>
      <c r="I80" t="s">
        <v>34</v>
      </c>
      <c r="J80" t="s">
        <v>91</v>
      </c>
      <c r="K80">
        <v>3</v>
      </c>
    </row>
    <row r="81" spans="1:11" x14ac:dyDescent="0.3">
      <c r="A81" t="s">
        <v>251</v>
      </c>
      <c r="B81" t="s">
        <v>198</v>
      </c>
      <c r="C81" t="s">
        <v>252</v>
      </c>
      <c r="D81" t="s">
        <v>27</v>
      </c>
      <c r="E81" t="s">
        <v>102</v>
      </c>
      <c r="F81">
        <v>4</v>
      </c>
      <c r="G81">
        <v>17932</v>
      </c>
      <c r="H81">
        <v>71728</v>
      </c>
      <c r="I81" t="s">
        <v>34</v>
      </c>
      <c r="J81" t="s">
        <v>52</v>
      </c>
      <c r="K81">
        <v>2</v>
      </c>
    </row>
    <row r="82" spans="1:11" x14ac:dyDescent="0.3">
      <c r="A82" t="s">
        <v>253</v>
      </c>
      <c r="B82" t="s">
        <v>135</v>
      </c>
      <c r="C82" t="s">
        <v>139</v>
      </c>
      <c r="D82" t="s">
        <v>27</v>
      </c>
      <c r="E82" t="s">
        <v>102</v>
      </c>
      <c r="F82">
        <v>3</v>
      </c>
      <c r="G82">
        <v>23864</v>
      </c>
      <c r="H82">
        <v>71592</v>
      </c>
      <c r="I82" t="s">
        <v>64</v>
      </c>
      <c r="J82" t="s">
        <v>65</v>
      </c>
      <c r="K82">
        <v>4</v>
      </c>
    </row>
    <row r="83" spans="1:11" x14ac:dyDescent="0.3">
      <c r="A83" t="s">
        <v>254</v>
      </c>
      <c r="B83" t="s">
        <v>255</v>
      </c>
      <c r="C83" t="s">
        <v>256</v>
      </c>
      <c r="D83" t="s">
        <v>56</v>
      </c>
      <c r="E83" t="s">
        <v>57</v>
      </c>
      <c r="F83">
        <v>7</v>
      </c>
      <c r="G83">
        <v>24233</v>
      </c>
      <c r="H83">
        <v>169631</v>
      </c>
      <c r="I83" t="s">
        <v>23</v>
      </c>
      <c r="J83" t="s">
        <v>35</v>
      </c>
      <c r="K83">
        <v>2</v>
      </c>
    </row>
    <row r="84" spans="1:11" x14ac:dyDescent="0.3">
      <c r="A84" t="s">
        <v>257</v>
      </c>
      <c r="B84" t="s">
        <v>138</v>
      </c>
      <c r="C84" t="s">
        <v>258</v>
      </c>
      <c r="D84" t="s">
        <v>21</v>
      </c>
      <c r="E84" t="s">
        <v>22</v>
      </c>
      <c r="F84">
        <v>10</v>
      </c>
      <c r="G84">
        <v>27060</v>
      </c>
      <c r="H84">
        <v>270600</v>
      </c>
      <c r="I84" t="s">
        <v>64</v>
      </c>
      <c r="J84" t="s">
        <v>35</v>
      </c>
      <c r="K84">
        <v>5</v>
      </c>
    </row>
    <row r="85" spans="1:11" x14ac:dyDescent="0.3">
      <c r="A85" t="s">
        <v>259</v>
      </c>
      <c r="B85" t="s">
        <v>93</v>
      </c>
      <c r="C85" t="s">
        <v>260</v>
      </c>
      <c r="D85" t="s">
        <v>14</v>
      </c>
      <c r="E85" t="s">
        <v>167</v>
      </c>
      <c r="F85">
        <v>5</v>
      </c>
      <c r="G85">
        <v>19068</v>
      </c>
      <c r="H85">
        <v>95340</v>
      </c>
      <c r="I85" t="s">
        <v>48</v>
      </c>
      <c r="J85" t="s">
        <v>70</v>
      </c>
      <c r="K85">
        <v>3</v>
      </c>
    </row>
    <row r="86" spans="1:11" x14ac:dyDescent="0.3">
      <c r="A86" t="s">
        <v>261</v>
      </c>
      <c r="B86" t="s">
        <v>262</v>
      </c>
      <c r="C86" t="s">
        <v>183</v>
      </c>
      <c r="D86" t="s">
        <v>14</v>
      </c>
      <c r="E86" t="s">
        <v>140</v>
      </c>
      <c r="F86">
        <v>7</v>
      </c>
      <c r="G86">
        <v>9428</v>
      </c>
      <c r="H86">
        <v>65996</v>
      </c>
      <c r="I86" t="s">
        <v>16</v>
      </c>
      <c r="J86" t="s">
        <v>150</v>
      </c>
      <c r="K86">
        <v>3</v>
      </c>
    </row>
    <row r="87" spans="1:11" x14ac:dyDescent="0.3">
      <c r="A87" t="s">
        <v>263</v>
      </c>
      <c r="B87" t="s">
        <v>31</v>
      </c>
      <c r="C87" t="s">
        <v>264</v>
      </c>
      <c r="D87" t="s">
        <v>56</v>
      </c>
      <c r="E87" t="s">
        <v>133</v>
      </c>
      <c r="F87">
        <v>4</v>
      </c>
      <c r="G87">
        <v>29354</v>
      </c>
      <c r="H87">
        <v>117416</v>
      </c>
      <c r="I87" t="s">
        <v>23</v>
      </c>
      <c r="J87" t="s">
        <v>136</v>
      </c>
      <c r="K87">
        <v>5</v>
      </c>
    </row>
    <row r="88" spans="1:11" x14ac:dyDescent="0.3">
      <c r="A88" t="s">
        <v>265</v>
      </c>
      <c r="B88" t="s">
        <v>169</v>
      </c>
      <c r="C88" t="s">
        <v>266</v>
      </c>
      <c r="D88" t="s">
        <v>14</v>
      </c>
      <c r="E88" t="s">
        <v>15</v>
      </c>
      <c r="F88">
        <v>1</v>
      </c>
      <c r="G88">
        <v>4607</v>
      </c>
      <c r="H88">
        <v>4607</v>
      </c>
      <c r="I88" t="s">
        <v>34</v>
      </c>
      <c r="J88" t="s">
        <v>136</v>
      </c>
      <c r="K88">
        <v>2</v>
      </c>
    </row>
    <row r="89" spans="1:11" x14ac:dyDescent="0.3">
      <c r="A89" t="s">
        <v>267</v>
      </c>
      <c r="B89" t="s">
        <v>117</v>
      </c>
      <c r="C89" t="s">
        <v>164</v>
      </c>
      <c r="D89" t="s">
        <v>21</v>
      </c>
      <c r="E89" t="s">
        <v>149</v>
      </c>
      <c r="F89">
        <v>1</v>
      </c>
      <c r="G89">
        <v>25205</v>
      </c>
      <c r="H89">
        <v>25205</v>
      </c>
      <c r="I89" t="s">
        <v>48</v>
      </c>
      <c r="J89" t="s">
        <v>70</v>
      </c>
      <c r="K89">
        <v>5</v>
      </c>
    </row>
    <row r="90" spans="1:11" x14ac:dyDescent="0.3">
      <c r="A90" t="s">
        <v>268</v>
      </c>
      <c r="B90" t="s">
        <v>93</v>
      </c>
      <c r="C90" t="s">
        <v>143</v>
      </c>
      <c r="D90" t="s">
        <v>42</v>
      </c>
      <c r="E90" t="s">
        <v>60</v>
      </c>
      <c r="F90">
        <v>5</v>
      </c>
      <c r="G90">
        <v>20803</v>
      </c>
      <c r="H90">
        <v>104015</v>
      </c>
      <c r="I90" t="s">
        <v>23</v>
      </c>
      <c r="J90" t="s">
        <v>44</v>
      </c>
      <c r="K90">
        <v>5</v>
      </c>
    </row>
    <row r="91" spans="1:11" x14ac:dyDescent="0.3">
      <c r="A91" t="s">
        <v>269</v>
      </c>
      <c r="B91" t="s">
        <v>270</v>
      </c>
      <c r="C91" t="s">
        <v>271</v>
      </c>
      <c r="D91" t="s">
        <v>27</v>
      </c>
      <c r="E91" t="s">
        <v>28</v>
      </c>
      <c r="F91">
        <v>9</v>
      </c>
      <c r="G91">
        <v>18433</v>
      </c>
      <c r="H91">
        <v>165897</v>
      </c>
      <c r="I91" t="s">
        <v>64</v>
      </c>
      <c r="J91" t="s">
        <v>136</v>
      </c>
      <c r="K91">
        <v>1</v>
      </c>
    </row>
    <row r="92" spans="1:11" x14ac:dyDescent="0.3">
      <c r="A92" t="s">
        <v>272</v>
      </c>
      <c r="B92" t="s">
        <v>273</v>
      </c>
      <c r="C92" t="s">
        <v>274</v>
      </c>
      <c r="D92" t="s">
        <v>14</v>
      </c>
      <c r="E92" t="s">
        <v>167</v>
      </c>
      <c r="F92">
        <v>10</v>
      </c>
      <c r="G92">
        <v>9598</v>
      </c>
      <c r="H92">
        <v>95980</v>
      </c>
      <c r="I92" t="s">
        <v>64</v>
      </c>
      <c r="J92" t="s">
        <v>52</v>
      </c>
      <c r="K92">
        <v>1</v>
      </c>
    </row>
    <row r="93" spans="1:11" x14ac:dyDescent="0.3">
      <c r="A93" t="s">
        <v>275</v>
      </c>
      <c r="B93" t="s">
        <v>276</v>
      </c>
      <c r="C93" t="s">
        <v>277</v>
      </c>
      <c r="D93" t="s">
        <v>56</v>
      </c>
      <c r="E93" t="s">
        <v>78</v>
      </c>
      <c r="F93">
        <v>6</v>
      </c>
      <c r="G93">
        <v>13833</v>
      </c>
      <c r="H93">
        <v>82998</v>
      </c>
      <c r="I93" t="s">
        <v>34</v>
      </c>
      <c r="J93" t="s">
        <v>65</v>
      </c>
      <c r="K93">
        <v>5</v>
      </c>
    </row>
    <row r="94" spans="1:11" x14ac:dyDescent="0.3">
      <c r="A94" t="s">
        <v>278</v>
      </c>
      <c r="B94" t="s">
        <v>237</v>
      </c>
      <c r="C94" t="s">
        <v>108</v>
      </c>
      <c r="D94" t="s">
        <v>14</v>
      </c>
      <c r="E94" t="s">
        <v>15</v>
      </c>
      <c r="F94">
        <v>5</v>
      </c>
      <c r="G94">
        <v>14413</v>
      </c>
      <c r="H94">
        <v>72065</v>
      </c>
      <c r="I94" t="s">
        <v>34</v>
      </c>
      <c r="J94" t="s">
        <v>91</v>
      </c>
      <c r="K94">
        <v>3</v>
      </c>
    </row>
    <row r="95" spans="1:11" x14ac:dyDescent="0.3">
      <c r="A95" t="s">
        <v>279</v>
      </c>
      <c r="B95" t="s">
        <v>114</v>
      </c>
      <c r="C95" t="s">
        <v>111</v>
      </c>
      <c r="D95" t="s">
        <v>21</v>
      </c>
      <c r="E95" t="s">
        <v>33</v>
      </c>
      <c r="F95">
        <v>1</v>
      </c>
      <c r="G95">
        <v>25952</v>
      </c>
      <c r="H95">
        <v>25952</v>
      </c>
      <c r="I95" t="s">
        <v>23</v>
      </c>
      <c r="J95" t="s">
        <v>70</v>
      </c>
      <c r="K95">
        <v>2</v>
      </c>
    </row>
    <row r="96" spans="1:11" x14ac:dyDescent="0.3">
      <c r="A96" t="s">
        <v>280</v>
      </c>
      <c r="B96" t="s">
        <v>281</v>
      </c>
      <c r="C96" t="s">
        <v>282</v>
      </c>
      <c r="D96" t="s">
        <v>42</v>
      </c>
      <c r="E96" t="s">
        <v>184</v>
      </c>
      <c r="F96">
        <v>3</v>
      </c>
      <c r="G96">
        <v>1243</v>
      </c>
      <c r="H96">
        <v>3729</v>
      </c>
      <c r="I96" t="s">
        <v>23</v>
      </c>
      <c r="J96" t="s">
        <v>35</v>
      </c>
      <c r="K96">
        <v>3</v>
      </c>
    </row>
    <row r="97" spans="1:11" x14ac:dyDescent="0.3">
      <c r="A97" t="s">
        <v>283</v>
      </c>
      <c r="B97" t="s">
        <v>104</v>
      </c>
      <c r="C97" t="s">
        <v>284</v>
      </c>
      <c r="D97" t="s">
        <v>27</v>
      </c>
      <c r="E97" t="s">
        <v>28</v>
      </c>
      <c r="F97">
        <v>5</v>
      </c>
      <c r="G97">
        <v>17516</v>
      </c>
      <c r="H97">
        <v>87580</v>
      </c>
      <c r="I97" t="s">
        <v>34</v>
      </c>
      <c r="J97" t="s">
        <v>17</v>
      </c>
      <c r="K97">
        <v>5</v>
      </c>
    </row>
    <row r="98" spans="1:11" x14ac:dyDescent="0.3">
      <c r="A98" t="s">
        <v>285</v>
      </c>
      <c r="B98" t="s">
        <v>276</v>
      </c>
      <c r="C98" t="s">
        <v>286</v>
      </c>
      <c r="D98" t="s">
        <v>21</v>
      </c>
      <c r="E98" t="s">
        <v>33</v>
      </c>
      <c r="F98">
        <v>8</v>
      </c>
      <c r="G98">
        <v>279</v>
      </c>
      <c r="H98">
        <v>2232</v>
      </c>
      <c r="I98" t="s">
        <v>64</v>
      </c>
      <c r="J98" t="s">
        <v>29</v>
      </c>
      <c r="K98">
        <v>1</v>
      </c>
    </row>
    <row r="99" spans="1:11" x14ac:dyDescent="0.3">
      <c r="A99" t="s">
        <v>287</v>
      </c>
      <c r="B99" t="s">
        <v>72</v>
      </c>
      <c r="C99" t="s">
        <v>288</v>
      </c>
      <c r="D99" t="s">
        <v>42</v>
      </c>
      <c r="E99" t="s">
        <v>60</v>
      </c>
      <c r="F99">
        <v>8</v>
      </c>
      <c r="G99">
        <v>25760</v>
      </c>
      <c r="H99">
        <v>206080</v>
      </c>
      <c r="I99" t="s">
        <v>64</v>
      </c>
      <c r="J99" t="s">
        <v>91</v>
      </c>
      <c r="K99">
        <v>4</v>
      </c>
    </row>
    <row r="100" spans="1:11" x14ac:dyDescent="0.3">
      <c r="A100" t="s">
        <v>289</v>
      </c>
      <c r="B100" t="s">
        <v>290</v>
      </c>
      <c r="C100" t="s">
        <v>250</v>
      </c>
      <c r="D100" t="s">
        <v>27</v>
      </c>
      <c r="E100" t="s">
        <v>87</v>
      </c>
      <c r="F100">
        <v>6</v>
      </c>
      <c r="G100">
        <v>229</v>
      </c>
      <c r="H100">
        <v>1374</v>
      </c>
      <c r="I100" t="s">
        <v>23</v>
      </c>
      <c r="J100" t="s">
        <v>44</v>
      </c>
      <c r="K100">
        <v>2</v>
      </c>
    </row>
    <row r="101" spans="1:11" x14ac:dyDescent="0.3">
      <c r="A101" t="s">
        <v>291</v>
      </c>
      <c r="B101" t="s">
        <v>110</v>
      </c>
      <c r="C101" t="s">
        <v>292</v>
      </c>
      <c r="D101" t="s">
        <v>56</v>
      </c>
      <c r="E101" t="s">
        <v>57</v>
      </c>
      <c r="F101">
        <v>7</v>
      </c>
      <c r="G101">
        <v>28224</v>
      </c>
      <c r="H101">
        <v>197568</v>
      </c>
      <c r="I101" t="s">
        <v>64</v>
      </c>
      <c r="J101" t="s">
        <v>52</v>
      </c>
      <c r="K101">
        <v>3</v>
      </c>
    </row>
    <row r="102" spans="1:11" x14ac:dyDescent="0.3">
      <c r="A102" t="s">
        <v>293</v>
      </c>
      <c r="B102" t="s">
        <v>114</v>
      </c>
      <c r="C102" t="s">
        <v>153</v>
      </c>
      <c r="D102" t="s">
        <v>56</v>
      </c>
      <c r="E102" t="s">
        <v>178</v>
      </c>
      <c r="F102">
        <v>8</v>
      </c>
      <c r="G102">
        <v>7376</v>
      </c>
      <c r="H102">
        <v>59008</v>
      </c>
      <c r="I102" t="s">
        <v>16</v>
      </c>
      <c r="J102" t="s">
        <v>17</v>
      </c>
      <c r="K102">
        <v>3</v>
      </c>
    </row>
    <row r="103" spans="1:11" x14ac:dyDescent="0.3">
      <c r="A103" t="s">
        <v>294</v>
      </c>
      <c r="B103" t="s">
        <v>148</v>
      </c>
      <c r="C103" t="s">
        <v>156</v>
      </c>
      <c r="D103" t="s">
        <v>14</v>
      </c>
      <c r="E103" t="s">
        <v>69</v>
      </c>
      <c r="F103">
        <v>8</v>
      </c>
      <c r="G103">
        <v>15405</v>
      </c>
      <c r="H103">
        <v>123240</v>
      </c>
      <c r="I103" t="s">
        <v>64</v>
      </c>
      <c r="J103" t="s">
        <v>17</v>
      </c>
      <c r="K103">
        <v>5</v>
      </c>
    </row>
    <row r="104" spans="1:11" x14ac:dyDescent="0.3">
      <c r="A104" t="s">
        <v>295</v>
      </c>
      <c r="B104" t="s">
        <v>296</v>
      </c>
      <c r="C104" t="s">
        <v>297</v>
      </c>
      <c r="D104" t="s">
        <v>27</v>
      </c>
      <c r="E104" t="s">
        <v>87</v>
      </c>
      <c r="F104">
        <v>4</v>
      </c>
      <c r="G104">
        <v>796</v>
      </c>
      <c r="H104">
        <v>3184</v>
      </c>
      <c r="I104" t="s">
        <v>16</v>
      </c>
      <c r="J104" t="s">
        <v>136</v>
      </c>
      <c r="K104">
        <v>5</v>
      </c>
    </row>
    <row r="105" spans="1:11" x14ac:dyDescent="0.3">
      <c r="A105" t="s">
        <v>298</v>
      </c>
      <c r="B105" t="s">
        <v>299</v>
      </c>
      <c r="C105" t="s">
        <v>84</v>
      </c>
      <c r="D105" t="s">
        <v>56</v>
      </c>
      <c r="E105" t="s">
        <v>178</v>
      </c>
      <c r="F105">
        <v>4</v>
      </c>
      <c r="G105">
        <v>22366</v>
      </c>
      <c r="H105">
        <v>89464</v>
      </c>
      <c r="I105" t="s">
        <v>16</v>
      </c>
      <c r="J105" t="s">
        <v>44</v>
      </c>
      <c r="K105">
        <v>2</v>
      </c>
    </row>
    <row r="106" spans="1:11" x14ac:dyDescent="0.3">
      <c r="A106" t="s">
        <v>300</v>
      </c>
      <c r="B106" t="s">
        <v>255</v>
      </c>
      <c r="C106" t="s">
        <v>301</v>
      </c>
      <c r="D106" t="s">
        <v>56</v>
      </c>
      <c r="E106" t="s">
        <v>178</v>
      </c>
      <c r="F106">
        <v>5</v>
      </c>
      <c r="G106">
        <v>13927</v>
      </c>
      <c r="H106">
        <v>69635</v>
      </c>
      <c r="I106" t="s">
        <v>48</v>
      </c>
      <c r="J106" t="s">
        <v>52</v>
      </c>
      <c r="K106">
        <v>1</v>
      </c>
    </row>
    <row r="107" spans="1:11" x14ac:dyDescent="0.3">
      <c r="A107" t="s">
        <v>302</v>
      </c>
      <c r="B107" t="s">
        <v>216</v>
      </c>
      <c r="C107" t="s">
        <v>274</v>
      </c>
      <c r="D107" t="s">
        <v>56</v>
      </c>
      <c r="E107" t="s">
        <v>57</v>
      </c>
      <c r="F107">
        <v>10</v>
      </c>
      <c r="G107">
        <v>26215</v>
      </c>
      <c r="H107">
        <v>262150</v>
      </c>
      <c r="I107" t="s">
        <v>64</v>
      </c>
      <c r="J107" t="s">
        <v>17</v>
      </c>
      <c r="K107">
        <v>5</v>
      </c>
    </row>
    <row r="108" spans="1:11" x14ac:dyDescent="0.3">
      <c r="A108" t="s">
        <v>303</v>
      </c>
      <c r="B108" t="s">
        <v>304</v>
      </c>
      <c r="C108" t="s">
        <v>159</v>
      </c>
      <c r="D108" t="s">
        <v>27</v>
      </c>
      <c r="E108" t="s">
        <v>102</v>
      </c>
      <c r="F108">
        <v>8</v>
      </c>
      <c r="G108">
        <v>24675</v>
      </c>
      <c r="H108">
        <v>197400</v>
      </c>
      <c r="I108" t="s">
        <v>16</v>
      </c>
      <c r="J108" t="s">
        <v>91</v>
      </c>
      <c r="K108">
        <v>3</v>
      </c>
    </row>
    <row r="109" spans="1:11" x14ac:dyDescent="0.3">
      <c r="A109" t="s">
        <v>305</v>
      </c>
      <c r="B109" t="s">
        <v>59</v>
      </c>
      <c r="C109" t="s">
        <v>306</v>
      </c>
      <c r="D109" t="s">
        <v>14</v>
      </c>
      <c r="E109" t="s">
        <v>140</v>
      </c>
      <c r="F109">
        <v>8</v>
      </c>
      <c r="G109">
        <v>4912</v>
      </c>
      <c r="H109">
        <v>39296</v>
      </c>
      <c r="I109" t="s">
        <v>48</v>
      </c>
      <c r="J109" t="s">
        <v>35</v>
      </c>
      <c r="K109">
        <v>2</v>
      </c>
    </row>
    <row r="110" spans="1:11" x14ac:dyDescent="0.3">
      <c r="A110" t="s">
        <v>307</v>
      </c>
      <c r="B110" t="s">
        <v>163</v>
      </c>
      <c r="C110" t="s">
        <v>308</v>
      </c>
      <c r="D110" t="s">
        <v>21</v>
      </c>
      <c r="E110" t="s">
        <v>106</v>
      </c>
      <c r="F110">
        <v>4</v>
      </c>
      <c r="G110">
        <v>23182</v>
      </c>
      <c r="H110">
        <v>92728</v>
      </c>
      <c r="I110" t="s">
        <v>34</v>
      </c>
      <c r="J110" t="s">
        <v>136</v>
      </c>
      <c r="K110">
        <v>1</v>
      </c>
    </row>
    <row r="111" spans="1:11" x14ac:dyDescent="0.3">
      <c r="A111" t="s">
        <v>309</v>
      </c>
      <c r="B111" t="s">
        <v>142</v>
      </c>
      <c r="C111" t="s">
        <v>310</v>
      </c>
      <c r="D111" t="s">
        <v>14</v>
      </c>
      <c r="E111" t="s">
        <v>140</v>
      </c>
      <c r="F111">
        <v>6</v>
      </c>
      <c r="G111">
        <v>10278</v>
      </c>
      <c r="H111">
        <v>61668</v>
      </c>
      <c r="I111" t="s">
        <v>34</v>
      </c>
      <c r="J111" t="s">
        <v>44</v>
      </c>
      <c r="K111">
        <v>3</v>
      </c>
    </row>
    <row r="112" spans="1:11" x14ac:dyDescent="0.3">
      <c r="A112" t="s">
        <v>311</v>
      </c>
      <c r="B112" t="s">
        <v>312</v>
      </c>
      <c r="C112" t="s">
        <v>313</v>
      </c>
      <c r="D112" t="s">
        <v>56</v>
      </c>
      <c r="E112" t="s">
        <v>133</v>
      </c>
      <c r="F112">
        <v>5</v>
      </c>
      <c r="G112">
        <v>6672</v>
      </c>
      <c r="H112">
        <v>33360</v>
      </c>
      <c r="I112" t="s">
        <v>48</v>
      </c>
      <c r="J112" t="s">
        <v>136</v>
      </c>
      <c r="K112">
        <v>5</v>
      </c>
    </row>
    <row r="113" spans="1:11" x14ac:dyDescent="0.3">
      <c r="A113" t="s">
        <v>314</v>
      </c>
      <c r="B113" t="s">
        <v>232</v>
      </c>
      <c r="C113" t="s">
        <v>306</v>
      </c>
      <c r="D113" t="s">
        <v>27</v>
      </c>
      <c r="E113" t="s">
        <v>28</v>
      </c>
      <c r="F113">
        <v>6</v>
      </c>
      <c r="G113">
        <v>6928</v>
      </c>
      <c r="H113">
        <v>41568</v>
      </c>
      <c r="I113" t="s">
        <v>64</v>
      </c>
      <c r="J113" t="s">
        <v>52</v>
      </c>
      <c r="K113">
        <v>4</v>
      </c>
    </row>
    <row r="114" spans="1:11" x14ac:dyDescent="0.3">
      <c r="A114" t="s">
        <v>315</v>
      </c>
      <c r="B114" t="s">
        <v>205</v>
      </c>
      <c r="C114" t="s">
        <v>316</v>
      </c>
      <c r="D114" t="s">
        <v>21</v>
      </c>
      <c r="E114" t="s">
        <v>22</v>
      </c>
      <c r="F114">
        <v>9</v>
      </c>
      <c r="G114">
        <v>10761</v>
      </c>
      <c r="H114">
        <v>96849</v>
      </c>
      <c r="I114" t="s">
        <v>64</v>
      </c>
      <c r="J114" t="s">
        <v>17</v>
      </c>
      <c r="K114">
        <v>2</v>
      </c>
    </row>
    <row r="115" spans="1:11" x14ac:dyDescent="0.3">
      <c r="A115" t="s">
        <v>317</v>
      </c>
      <c r="B115" t="s">
        <v>318</v>
      </c>
      <c r="C115" t="s">
        <v>319</v>
      </c>
      <c r="D115" t="s">
        <v>21</v>
      </c>
      <c r="E115" t="s">
        <v>74</v>
      </c>
      <c r="F115">
        <v>1</v>
      </c>
      <c r="G115">
        <v>13731</v>
      </c>
      <c r="H115">
        <v>13731</v>
      </c>
      <c r="I115" t="s">
        <v>64</v>
      </c>
      <c r="J115" t="s">
        <v>65</v>
      </c>
      <c r="K115">
        <v>4</v>
      </c>
    </row>
    <row r="116" spans="1:11" x14ac:dyDescent="0.3">
      <c r="A116" t="s">
        <v>320</v>
      </c>
      <c r="B116" t="s">
        <v>114</v>
      </c>
      <c r="C116" t="s">
        <v>115</v>
      </c>
      <c r="D116" t="s">
        <v>27</v>
      </c>
      <c r="E116" t="s">
        <v>87</v>
      </c>
      <c r="F116">
        <v>8</v>
      </c>
      <c r="G116">
        <v>14430</v>
      </c>
      <c r="H116">
        <v>115440</v>
      </c>
      <c r="I116" t="s">
        <v>64</v>
      </c>
      <c r="J116" t="s">
        <v>150</v>
      </c>
      <c r="K116">
        <v>4</v>
      </c>
    </row>
    <row r="117" spans="1:11" x14ac:dyDescent="0.3">
      <c r="A117" t="s">
        <v>321</v>
      </c>
      <c r="B117" t="s">
        <v>50</v>
      </c>
      <c r="C117" t="s">
        <v>322</v>
      </c>
      <c r="D117" t="s">
        <v>14</v>
      </c>
      <c r="E117" t="s">
        <v>69</v>
      </c>
      <c r="F117">
        <v>7</v>
      </c>
      <c r="G117">
        <v>2647</v>
      </c>
      <c r="H117">
        <v>18529</v>
      </c>
      <c r="I117" t="s">
        <v>64</v>
      </c>
      <c r="J117" t="s">
        <v>91</v>
      </c>
      <c r="K117">
        <v>3</v>
      </c>
    </row>
    <row r="118" spans="1:11" x14ac:dyDescent="0.3">
      <c r="A118" t="s">
        <v>323</v>
      </c>
      <c r="B118" t="s">
        <v>72</v>
      </c>
      <c r="C118" t="s">
        <v>324</v>
      </c>
      <c r="D118" t="s">
        <v>56</v>
      </c>
      <c r="E118" t="s">
        <v>57</v>
      </c>
      <c r="F118">
        <v>1</v>
      </c>
      <c r="G118">
        <v>5555</v>
      </c>
      <c r="H118">
        <v>5555</v>
      </c>
      <c r="I118" t="s">
        <v>64</v>
      </c>
      <c r="J118" t="s">
        <v>70</v>
      </c>
      <c r="K118">
        <v>4</v>
      </c>
    </row>
    <row r="119" spans="1:11" x14ac:dyDescent="0.3">
      <c r="A119" t="s">
        <v>325</v>
      </c>
      <c r="B119" t="s">
        <v>281</v>
      </c>
      <c r="C119" t="s">
        <v>189</v>
      </c>
      <c r="D119" t="s">
        <v>27</v>
      </c>
      <c r="E119" t="s">
        <v>28</v>
      </c>
      <c r="F119">
        <v>8</v>
      </c>
      <c r="G119">
        <v>1592</v>
      </c>
      <c r="H119">
        <v>12736</v>
      </c>
      <c r="I119" t="s">
        <v>34</v>
      </c>
      <c r="J119" t="s">
        <v>29</v>
      </c>
      <c r="K119">
        <v>2</v>
      </c>
    </row>
    <row r="120" spans="1:11" x14ac:dyDescent="0.3">
      <c r="A120" t="s">
        <v>326</v>
      </c>
      <c r="B120" t="s">
        <v>214</v>
      </c>
      <c r="C120" t="s">
        <v>248</v>
      </c>
      <c r="D120" t="s">
        <v>14</v>
      </c>
      <c r="E120" t="s">
        <v>167</v>
      </c>
      <c r="F120">
        <v>2</v>
      </c>
      <c r="G120">
        <v>1703</v>
      </c>
      <c r="H120">
        <v>3406</v>
      </c>
      <c r="I120" t="s">
        <v>16</v>
      </c>
      <c r="J120" t="s">
        <v>65</v>
      </c>
      <c r="K120">
        <v>2</v>
      </c>
    </row>
    <row r="121" spans="1:11" x14ac:dyDescent="0.3">
      <c r="A121" t="s">
        <v>327</v>
      </c>
      <c r="B121" t="s">
        <v>255</v>
      </c>
      <c r="C121" t="s">
        <v>328</v>
      </c>
      <c r="D121" t="s">
        <v>27</v>
      </c>
      <c r="E121" t="s">
        <v>207</v>
      </c>
      <c r="F121">
        <v>2</v>
      </c>
      <c r="G121">
        <v>21309</v>
      </c>
      <c r="H121">
        <v>42618</v>
      </c>
      <c r="I121" t="s">
        <v>16</v>
      </c>
      <c r="J121" t="s">
        <v>17</v>
      </c>
      <c r="K121">
        <v>5</v>
      </c>
    </row>
    <row r="122" spans="1:11" x14ac:dyDescent="0.3">
      <c r="A122" t="s">
        <v>329</v>
      </c>
      <c r="B122" t="s">
        <v>125</v>
      </c>
      <c r="C122" t="s">
        <v>330</v>
      </c>
      <c r="D122" t="s">
        <v>14</v>
      </c>
      <c r="E122" t="s">
        <v>140</v>
      </c>
      <c r="F122">
        <v>2</v>
      </c>
      <c r="G122">
        <v>24509</v>
      </c>
      <c r="H122">
        <v>49018</v>
      </c>
      <c r="I122" t="s">
        <v>48</v>
      </c>
      <c r="J122" t="s">
        <v>29</v>
      </c>
      <c r="K122">
        <v>5</v>
      </c>
    </row>
    <row r="123" spans="1:11" x14ac:dyDescent="0.3">
      <c r="A123" t="s">
        <v>331</v>
      </c>
      <c r="B123" t="s">
        <v>72</v>
      </c>
      <c r="C123" t="s">
        <v>332</v>
      </c>
      <c r="D123" t="s">
        <v>21</v>
      </c>
      <c r="E123" t="s">
        <v>149</v>
      </c>
      <c r="F123">
        <v>2</v>
      </c>
      <c r="G123">
        <v>3939</v>
      </c>
      <c r="H123">
        <v>7878</v>
      </c>
      <c r="I123" t="s">
        <v>23</v>
      </c>
      <c r="J123" t="s">
        <v>35</v>
      </c>
      <c r="K123">
        <v>1</v>
      </c>
    </row>
    <row r="124" spans="1:11" x14ac:dyDescent="0.3">
      <c r="A124" t="s">
        <v>333</v>
      </c>
      <c r="B124" t="s">
        <v>127</v>
      </c>
      <c r="C124" t="s">
        <v>334</v>
      </c>
      <c r="D124" t="s">
        <v>21</v>
      </c>
      <c r="E124" t="s">
        <v>74</v>
      </c>
      <c r="F124">
        <v>10</v>
      </c>
      <c r="G124">
        <v>17079</v>
      </c>
      <c r="H124">
        <v>170790</v>
      </c>
      <c r="I124" t="s">
        <v>23</v>
      </c>
      <c r="J124" t="s">
        <v>35</v>
      </c>
      <c r="K124">
        <v>1</v>
      </c>
    </row>
    <row r="125" spans="1:11" x14ac:dyDescent="0.3">
      <c r="A125" t="s">
        <v>335</v>
      </c>
      <c r="B125" t="s">
        <v>163</v>
      </c>
      <c r="C125" t="s">
        <v>336</v>
      </c>
      <c r="D125" t="s">
        <v>27</v>
      </c>
      <c r="E125" t="s">
        <v>87</v>
      </c>
      <c r="F125">
        <v>3</v>
      </c>
      <c r="G125">
        <v>477</v>
      </c>
      <c r="H125">
        <v>1431</v>
      </c>
      <c r="I125" t="s">
        <v>16</v>
      </c>
      <c r="J125" t="s">
        <v>65</v>
      </c>
      <c r="K125">
        <v>5</v>
      </c>
    </row>
    <row r="126" spans="1:11" x14ac:dyDescent="0.3">
      <c r="A126" t="s">
        <v>337</v>
      </c>
      <c r="B126" t="s">
        <v>19</v>
      </c>
      <c r="C126" t="s">
        <v>338</v>
      </c>
      <c r="D126" t="s">
        <v>27</v>
      </c>
      <c r="E126" t="s">
        <v>87</v>
      </c>
      <c r="F126">
        <v>5</v>
      </c>
      <c r="G126">
        <v>5620</v>
      </c>
      <c r="H126">
        <v>28100</v>
      </c>
      <c r="I126" t="s">
        <v>34</v>
      </c>
      <c r="J126" t="s">
        <v>150</v>
      </c>
      <c r="K126">
        <v>3</v>
      </c>
    </row>
    <row r="127" spans="1:11" x14ac:dyDescent="0.3">
      <c r="A127" t="s">
        <v>339</v>
      </c>
      <c r="B127" t="s">
        <v>117</v>
      </c>
      <c r="C127" t="s">
        <v>340</v>
      </c>
      <c r="D127" t="s">
        <v>14</v>
      </c>
      <c r="E127" t="s">
        <v>69</v>
      </c>
      <c r="F127">
        <v>4</v>
      </c>
      <c r="G127">
        <v>2560</v>
      </c>
      <c r="H127">
        <v>10240</v>
      </c>
      <c r="I127" t="s">
        <v>16</v>
      </c>
      <c r="J127" t="s">
        <v>136</v>
      </c>
      <c r="K127">
        <v>4</v>
      </c>
    </row>
    <row r="128" spans="1:11" x14ac:dyDescent="0.3">
      <c r="A128" t="s">
        <v>341</v>
      </c>
      <c r="B128" t="s">
        <v>163</v>
      </c>
      <c r="C128" t="s">
        <v>342</v>
      </c>
      <c r="D128" t="s">
        <v>14</v>
      </c>
      <c r="E128" t="s">
        <v>140</v>
      </c>
      <c r="F128">
        <v>10</v>
      </c>
      <c r="G128">
        <v>15699</v>
      </c>
      <c r="H128">
        <v>156990</v>
      </c>
      <c r="I128" t="s">
        <v>23</v>
      </c>
      <c r="J128" t="s">
        <v>70</v>
      </c>
      <c r="K128">
        <v>4</v>
      </c>
    </row>
    <row r="129" spans="1:11" x14ac:dyDescent="0.3">
      <c r="A129" t="s">
        <v>343</v>
      </c>
      <c r="B129" t="s">
        <v>344</v>
      </c>
      <c r="C129" t="s">
        <v>345</v>
      </c>
      <c r="D129" t="s">
        <v>21</v>
      </c>
      <c r="E129" t="s">
        <v>74</v>
      </c>
      <c r="F129">
        <v>7</v>
      </c>
      <c r="G129">
        <v>20086</v>
      </c>
      <c r="H129">
        <v>140602</v>
      </c>
      <c r="I129" t="s">
        <v>48</v>
      </c>
      <c r="J129" t="s">
        <v>136</v>
      </c>
      <c r="K129">
        <v>5</v>
      </c>
    </row>
    <row r="130" spans="1:11" x14ac:dyDescent="0.3">
      <c r="A130" t="s">
        <v>346</v>
      </c>
      <c r="B130" t="s">
        <v>276</v>
      </c>
      <c r="C130" t="s">
        <v>227</v>
      </c>
      <c r="D130" t="s">
        <v>56</v>
      </c>
      <c r="E130" t="s">
        <v>133</v>
      </c>
      <c r="F130">
        <v>3</v>
      </c>
      <c r="G130">
        <v>28218</v>
      </c>
      <c r="H130">
        <v>84654</v>
      </c>
      <c r="I130" t="s">
        <v>34</v>
      </c>
      <c r="J130" t="s">
        <v>35</v>
      </c>
      <c r="K130">
        <v>4</v>
      </c>
    </row>
    <row r="131" spans="1:11" x14ac:dyDescent="0.3">
      <c r="A131" t="s">
        <v>347</v>
      </c>
      <c r="B131" t="s">
        <v>135</v>
      </c>
      <c r="C131" t="s">
        <v>348</v>
      </c>
      <c r="D131" t="s">
        <v>27</v>
      </c>
      <c r="E131" t="s">
        <v>102</v>
      </c>
      <c r="F131">
        <v>6</v>
      </c>
      <c r="G131">
        <v>1783</v>
      </c>
      <c r="H131">
        <v>10698</v>
      </c>
      <c r="I131" t="s">
        <v>48</v>
      </c>
      <c r="J131" t="s">
        <v>91</v>
      </c>
      <c r="K131">
        <v>4</v>
      </c>
    </row>
    <row r="132" spans="1:11" x14ac:dyDescent="0.3">
      <c r="A132" t="s">
        <v>349</v>
      </c>
      <c r="B132" t="s">
        <v>350</v>
      </c>
      <c r="C132" t="s">
        <v>108</v>
      </c>
      <c r="D132" t="s">
        <v>42</v>
      </c>
      <c r="E132" t="s">
        <v>184</v>
      </c>
      <c r="F132">
        <v>10</v>
      </c>
      <c r="G132">
        <v>11358</v>
      </c>
      <c r="H132">
        <v>113580</v>
      </c>
      <c r="I132" t="s">
        <v>16</v>
      </c>
      <c r="J132" t="s">
        <v>65</v>
      </c>
      <c r="K132">
        <v>1</v>
      </c>
    </row>
    <row r="133" spans="1:11" x14ac:dyDescent="0.3">
      <c r="A133" t="s">
        <v>351</v>
      </c>
      <c r="B133" t="s">
        <v>76</v>
      </c>
      <c r="C133" t="s">
        <v>352</v>
      </c>
      <c r="D133" t="s">
        <v>27</v>
      </c>
      <c r="E133" t="s">
        <v>102</v>
      </c>
      <c r="F133">
        <v>9</v>
      </c>
      <c r="G133">
        <v>19816</v>
      </c>
      <c r="H133">
        <v>178344</v>
      </c>
      <c r="I133" t="s">
        <v>23</v>
      </c>
      <c r="J133" t="s">
        <v>136</v>
      </c>
      <c r="K133">
        <v>2</v>
      </c>
    </row>
    <row r="134" spans="1:11" x14ac:dyDescent="0.3">
      <c r="A134" t="s">
        <v>353</v>
      </c>
      <c r="B134" t="s">
        <v>354</v>
      </c>
      <c r="C134" t="s">
        <v>277</v>
      </c>
      <c r="D134" t="s">
        <v>27</v>
      </c>
      <c r="E134" t="s">
        <v>28</v>
      </c>
      <c r="F134">
        <v>9</v>
      </c>
      <c r="G134">
        <v>19613</v>
      </c>
      <c r="H134">
        <v>176517</v>
      </c>
      <c r="I134" t="s">
        <v>16</v>
      </c>
      <c r="J134" t="s">
        <v>136</v>
      </c>
      <c r="K134">
        <v>3</v>
      </c>
    </row>
    <row r="135" spans="1:11" x14ac:dyDescent="0.3">
      <c r="A135" t="s">
        <v>355</v>
      </c>
      <c r="B135" t="s">
        <v>356</v>
      </c>
      <c r="C135" t="s">
        <v>357</v>
      </c>
      <c r="D135" t="s">
        <v>56</v>
      </c>
      <c r="E135" t="s">
        <v>133</v>
      </c>
      <c r="F135">
        <v>9</v>
      </c>
      <c r="G135">
        <v>10193</v>
      </c>
      <c r="H135">
        <v>91737</v>
      </c>
      <c r="I135" t="s">
        <v>16</v>
      </c>
      <c r="J135" t="s">
        <v>70</v>
      </c>
      <c r="K135">
        <v>5</v>
      </c>
    </row>
    <row r="136" spans="1:11" x14ac:dyDescent="0.3">
      <c r="A136" t="s">
        <v>358</v>
      </c>
      <c r="B136" t="s">
        <v>148</v>
      </c>
      <c r="C136" t="s">
        <v>359</v>
      </c>
      <c r="D136" t="s">
        <v>14</v>
      </c>
      <c r="E136" t="s">
        <v>167</v>
      </c>
      <c r="F136">
        <v>1</v>
      </c>
      <c r="G136">
        <v>3320</v>
      </c>
      <c r="H136">
        <v>3320</v>
      </c>
      <c r="I136" t="s">
        <v>23</v>
      </c>
      <c r="J136" t="s">
        <v>29</v>
      </c>
      <c r="K136">
        <v>3</v>
      </c>
    </row>
    <row r="137" spans="1:11" x14ac:dyDescent="0.3">
      <c r="A137" t="s">
        <v>360</v>
      </c>
      <c r="B137" t="s">
        <v>163</v>
      </c>
      <c r="C137" t="s">
        <v>105</v>
      </c>
      <c r="D137" t="s">
        <v>42</v>
      </c>
      <c r="E137" t="s">
        <v>184</v>
      </c>
      <c r="F137">
        <v>7</v>
      </c>
      <c r="G137">
        <v>18941</v>
      </c>
      <c r="H137">
        <v>132587</v>
      </c>
      <c r="I137" t="s">
        <v>64</v>
      </c>
      <c r="J137" t="s">
        <v>29</v>
      </c>
      <c r="K137">
        <v>5</v>
      </c>
    </row>
    <row r="138" spans="1:11" x14ac:dyDescent="0.3">
      <c r="A138" t="s">
        <v>361</v>
      </c>
      <c r="B138" t="s">
        <v>273</v>
      </c>
      <c r="C138" t="s">
        <v>362</v>
      </c>
      <c r="D138" t="s">
        <v>56</v>
      </c>
      <c r="E138" t="s">
        <v>133</v>
      </c>
      <c r="F138">
        <v>3</v>
      </c>
      <c r="G138">
        <v>18424</v>
      </c>
      <c r="H138">
        <v>55272</v>
      </c>
      <c r="I138" t="s">
        <v>23</v>
      </c>
      <c r="J138" t="s">
        <v>65</v>
      </c>
      <c r="K138">
        <v>3</v>
      </c>
    </row>
    <row r="139" spans="1:11" x14ac:dyDescent="0.3">
      <c r="A139" t="s">
        <v>363</v>
      </c>
      <c r="B139" t="s">
        <v>364</v>
      </c>
      <c r="C139" t="s">
        <v>310</v>
      </c>
      <c r="D139" t="s">
        <v>56</v>
      </c>
      <c r="E139" t="s">
        <v>178</v>
      </c>
      <c r="F139">
        <v>8</v>
      </c>
      <c r="G139">
        <v>3319</v>
      </c>
      <c r="H139">
        <v>26552</v>
      </c>
      <c r="I139" t="s">
        <v>23</v>
      </c>
      <c r="J139" t="s">
        <v>70</v>
      </c>
      <c r="K139">
        <v>3</v>
      </c>
    </row>
    <row r="140" spans="1:11" x14ac:dyDescent="0.3">
      <c r="A140" t="s">
        <v>365</v>
      </c>
      <c r="B140" t="s">
        <v>122</v>
      </c>
      <c r="C140" t="s">
        <v>366</v>
      </c>
      <c r="D140" t="s">
        <v>42</v>
      </c>
      <c r="E140" t="s">
        <v>43</v>
      </c>
      <c r="F140">
        <v>9</v>
      </c>
      <c r="G140">
        <v>16794</v>
      </c>
      <c r="H140">
        <v>151146</v>
      </c>
      <c r="I140" t="s">
        <v>64</v>
      </c>
      <c r="J140" t="s">
        <v>91</v>
      </c>
      <c r="K140">
        <v>2</v>
      </c>
    </row>
    <row r="141" spans="1:11" x14ac:dyDescent="0.3">
      <c r="A141" t="s">
        <v>367</v>
      </c>
      <c r="B141" t="s">
        <v>312</v>
      </c>
      <c r="C141" t="s">
        <v>227</v>
      </c>
      <c r="D141" t="s">
        <v>21</v>
      </c>
      <c r="E141" t="s">
        <v>33</v>
      </c>
      <c r="F141">
        <v>2</v>
      </c>
      <c r="G141">
        <v>27242</v>
      </c>
      <c r="H141">
        <v>54484</v>
      </c>
      <c r="I141" t="s">
        <v>23</v>
      </c>
      <c r="J141" t="s">
        <v>35</v>
      </c>
      <c r="K141">
        <v>1</v>
      </c>
    </row>
    <row r="142" spans="1:11" x14ac:dyDescent="0.3">
      <c r="A142" t="s">
        <v>368</v>
      </c>
      <c r="B142" t="s">
        <v>270</v>
      </c>
      <c r="C142" t="s">
        <v>369</v>
      </c>
      <c r="D142" t="s">
        <v>56</v>
      </c>
      <c r="E142" t="s">
        <v>133</v>
      </c>
      <c r="F142">
        <v>10</v>
      </c>
      <c r="G142">
        <v>1252</v>
      </c>
      <c r="H142">
        <v>12520</v>
      </c>
      <c r="I142" t="s">
        <v>48</v>
      </c>
      <c r="J142" t="s">
        <v>150</v>
      </c>
      <c r="K142">
        <v>1</v>
      </c>
    </row>
    <row r="143" spans="1:11" x14ac:dyDescent="0.3">
      <c r="A143" t="s">
        <v>370</v>
      </c>
      <c r="B143" t="s">
        <v>135</v>
      </c>
      <c r="C143" t="s">
        <v>250</v>
      </c>
      <c r="D143" t="s">
        <v>14</v>
      </c>
      <c r="E143" t="s">
        <v>167</v>
      </c>
      <c r="F143">
        <v>4</v>
      </c>
      <c r="G143">
        <v>21956</v>
      </c>
      <c r="H143">
        <v>87824</v>
      </c>
      <c r="I143" t="s">
        <v>23</v>
      </c>
      <c r="J143" t="s">
        <v>29</v>
      </c>
      <c r="K143">
        <v>1</v>
      </c>
    </row>
    <row r="144" spans="1:11" x14ac:dyDescent="0.3">
      <c r="A144" t="s">
        <v>371</v>
      </c>
      <c r="B144" t="s">
        <v>372</v>
      </c>
      <c r="C144" t="s">
        <v>196</v>
      </c>
      <c r="D144" t="s">
        <v>14</v>
      </c>
      <c r="E144" t="s">
        <v>15</v>
      </c>
      <c r="F144">
        <v>2</v>
      </c>
      <c r="G144">
        <v>11869</v>
      </c>
      <c r="H144">
        <v>23738</v>
      </c>
      <c r="I144" t="s">
        <v>16</v>
      </c>
      <c r="J144" t="s">
        <v>29</v>
      </c>
      <c r="K144">
        <v>2</v>
      </c>
    </row>
    <row r="145" spans="1:11" x14ac:dyDescent="0.3">
      <c r="A145" t="s">
        <v>373</v>
      </c>
      <c r="B145" t="s">
        <v>104</v>
      </c>
      <c r="C145" t="s">
        <v>374</v>
      </c>
      <c r="D145" t="s">
        <v>42</v>
      </c>
      <c r="E145" t="s">
        <v>95</v>
      </c>
      <c r="F145">
        <v>10</v>
      </c>
      <c r="G145">
        <v>24242</v>
      </c>
      <c r="H145">
        <v>242420</v>
      </c>
      <c r="I145" t="s">
        <v>64</v>
      </c>
      <c r="J145" t="s">
        <v>65</v>
      </c>
      <c r="K145">
        <v>1</v>
      </c>
    </row>
    <row r="146" spans="1:11" x14ac:dyDescent="0.3">
      <c r="A146" t="s">
        <v>375</v>
      </c>
      <c r="B146" t="s">
        <v>376</v>
      </c>
      <c r="C146" t="s">
        <v>301</v>
      </c>
      <c r="D146" t="s">
        <v>27</v>
      </c>
      <c r="E146" t="s">
        <v>207</v>
      </c>
      <c r="F146">
        <v>4</v>
      </c>
      <c r="G146">
        <v>4121</v>
      </c>
      <c r="H146">
        <v>16484</v>
      </c>
      <c r="I146" t="s">
        <v>23</v>
      </c>
      <c r="J146" t="s">
        <v>91</v>
      </c>
      <c r="K146">
        <v>5</v>
      </c>
    </row>
    <row r="147" spans="1:11" x14ac:dyDescent="0.3">
      <c r="A147" t="s">
        <v>377</v>
      </c>
      <c r="B147" t="s">
        <v>83</v>
      </c>
      <c r="C147" t="s">
        <v>378</v>
      </c>
      <c r="D147" t="s">
        <v>42</v>
      </c>
      <c r="E147" t="s">
        <v>184</v>
      </c>
      <c r="F147">
        <v>7</v>
      </c>
      <c r="G147">
        <v>3535</v>
      </c>
      <c r="H147">
        <v>24745</v>
      </c>
      <c r="I147" t="s">
        <v>23</v>
      </c>
      <c r="J147" t="s">
        <v>65</v>
      </c>
      <c r="K147">
        <v>1</v>
      </c>
    </row>
    <row r="148" spans="1:11" x14ac:dyDescent="0.3">
      <c r="A148" t="s">
        <v>379</v>
      </c>
      <c r="B148" t="s">
        <v>380</v>
      </c>
      <c r="C148" t="s">
        <v>153</v>
      </c>
      <c r="D148" t="s">
        <v>27</v>
      </c>
      <c r="E148" t="s">
        <v>207</v>
      </c>
      <c r="F148">
        <v>2</v>
      </c>
      <c r="G148">
        <v>22984</v>
      </c>
      <c r="H148">
        <v>45968</v>
      </c>
      <c r="I148" t="s">
        <v>34</v>
      </c>
      <c r="J148" t="s">
        <v>91</v>
      </c>
      <c r="K148">
        <v>1</v>
      </c>
    </row>
    <row r="149" spans="1:11" x14ac:dyDescent="0.3">
      <c r="A149" t="s">
        <v>381</v>
      </c>
      <c r="B149" t="s">
        <v>382</v>
      </c>
      <c r="C149" t="s">
        <v>166</v>
      </c>
      <c r="D149" t="s">
        <v>56</v>
      </c>
      <c r="E149" t="s">
        <v>78</v>
      </c>
      <c r="F149">
        <v>7</v>
      </c>
      <c r="G149">
        <v>24078</v>
      </c>
      <c r="H149">
        <v>168546</v>
      </c>
      <c r="I149" t="s">
        <v>48</v>
      </c>
      <c r="J149" t="s">
        <v>44</v>
      </c>
      <c r="K149">
        <v>1</v>
      </c>
    </row>
    <row r="150" spans="1:11" x14ac:dyDescent="0.3">
      <c r="A150" t="s">
        <v>383</v>
      </c>
      <c r="B150" t="s">
        <v>312</v>
      </c>
      <c r="C150" t="s">
        <v>146</v>
      </c>
      <c r="D150" t="s">
        <v>56</v>
      </c>
      <c r="E150" t="s">
        <v>78</v>
      </c>
      <c r="F150">
        <v>1</v>
      </c>
      <c r="G150">
        <v>17504</v>
      </c>
      <c r="H150">
        <v>17504</v>
      </c>
      <c r="I150" t="s">
        <v>34</v>
      </c>
      <c r="J150" t="s">
        <v>17</v>
      </c>
      <c r="K150">
        <v>3</v>
      </c>
    </row>
    <row r="151" spans="1:11" x14ac:dyDescent="0.3">
      <c r="A151" t="s">
        <v>384</v>
      </c>
      <c r="B151" t="s">
        <v>93</v>
      </c>
      <c r="C151" t="s">
        <v>385</v>
      </c>
      <c r="D151" t="s">
        <v>21</v>
      </c>
      <c r="E151" t="s">
        <v>106</v>
      </c>
      <c r="F151">
        <v>9</v>
      </c>
      <c r="G151">
        <v>8759</v>
      </c>
      <c r="H151">
        <v>78831</v>
      </c>
      <c r="I151" t="s">
        <v>48</v>
      </c>
      <c r="J151" t="s">
        <v>29</v>
      </c>
      <c r="K151">
        <v>4</v>
      </c>
    </row>
    <row r="152" spans="1:11" x14ac:dyDescent="0.3">
      <c r="A152" t="s">
        <v>386</v>
      </c>
      <c r="B152" t="s">
        <v>155</v>
      </c>
      <c r="C152" t="s">
        <v>348</v>
      </c>
      <c r="D152" t="s">
        <v>56</v>
      </c>
      <c r="E152" t="s">
        <v>178</v>
      </c>
      <c r="F152">
        <v>3</v>
      </c>
      <c r="G152">
        <v>22423</v>
      </c>
      <c r="H152">
        <v>67269</v>
      </c>
      <c r="I152" t="s">
        <v>23</v>
      </c>
      <c r="J152" t="s">
        <v>17</v>
      </c>
      <c r="K152">
        <v>4</v>
      </c>
    </row>
    <row r="153" spans="1:11" x14ac:dyDescent="0.3">
      <c r="A153" t="s">
        <v>387</v>
      </c>
      <c r="B153" t="s">
        <v>37</v>
      </c>
      <c r="C153" t="s">
        <v>336</v>
      </c>
      <c r="D153" t="s">
        <v>14</v>
      </c>
      <c r="E153" t="s">
        <v>140</v>
      </c>
      <c r="F153">
        <v>8</v>
      </c>
      <c r="G153">
        <v>398</v>
      </c>
      <c r="H153">
        <v>3184</v>
      </c>
      <c r="I153" t="s">
        <v>64</v>
      </c>
      <c r="J153" t="s">
        <v>150</v>
      </c>
      <c r="K153">
        <v>1</v>
      </c>
    </row>
    <row r="154" spans="1:11" x14ac:dyDescent="0.3">
      <c r="A154" t="s">
        <v>388</v>
      </c>
      <c r="B154" t="s">
        <v>389</v>
      </c>
      <c r="C154" t="s">
        <v>390</v>
      </c>
      <c r="D154" t="s">
        <v>56</v>
      </c>
      <c r="E154" t="s">
        <v>78</v>
      </c>
      <c r="F154">
        <v>3</v>
      </c>
      <c r="G154">
        <v>9588</v>
      </c>
      <c r="H154">
        <v>28764</v>
      </c>
      <c r="I154" t="s">
        <v>16</v>
      </c>
      <c r="J154" t="s">
        <v>29</v>
      </c>
      <c r="K154">
        <v>2</v>
      </c>
    </row>
    <row r="155" spans="1:11" x14ac:dyDescent="0.3">
      <c r="A155" t="s">
        <v>391</v>
      </c>
      <c r="B155" t="s">
        <v>127</v>
      </c>
      <c r="C155" t="s">
        <v>392</v>
      </c>
      <c r="D155" t="s">
        <v>21</v>
      </c>
      <c r="E155" t="s">
        <v>149</v>
      </c>
      <c r="F155">
        <v>1</v>
      </c>
      <c r="G155">
        <v>19772</v>
      </c>
      <c r="H155">
        <v>19772</v>
      </c>
      <c r="I155" t="s">
        <v>48</v>
      </c>
      <c r="J155" t="s">
        <v>52</v>
      </c>
      <c r="K155">
        <v>3</v>
      </c>
    </row>
    <row r="156" spans="1:11" x14ac:dyDescent="0.3">
      <c r="A156" t="s">
        <v>393</v>
      </c>
      <c r="B156" t="s">
        <v>394</v>
      </c>
      <c r="C156" t="s">
        <v>139</v>
      </c>
      <c r="D156" t="s">
        <v>21</v>
      </c>
      <c r="E156" t="s">
        <v>149</v>
      </c>
      <c r="F156">
        <v>2</v>
      </c>
      <c r="G156">
        <v>5320</v>
      </c>
      <c r="H156">
        <v>10640</v>
      </c>
      <c r="I156" t="s">
        <v>64</v>
      </c>
      <c r="J156" t="s">
        <v>17</v>
      </c>
      <c r="K156">
        <v>4</v>
      </c>
    </row>
    <row r="157" spans="1:11" x14ac:dyDescent="0.3">
      <c r="A157" t="s">
        <v>395</v>
      </c>
      <c r="B157" t="s">
        <v>152</v>
      </c>
      <c r="C157" t="s">
        <v>396</v>
      </c>
      <c r="D157" t="s">
        <v>14</v>
      </c>
      <c r="E157" t="s">
        <v>15</v>
      </c>
      <c r="F157">
        <v>8</v>
      </c>
      <c r="G157">
        <v>1575</v>
      </c>
      <c r="H157">
        <v>12600</v>
      </c>
      <c r="I157" t="s">
        <v>64</v>
      </c>
      <c r="J157" t="s">
        <v>70</v>
      </c>
      <c r="K157">
        <v>4</v>
      </c>
    </row>
    <row r="158" spans="1:11" x14ac:dyDescent="0.3">
      <c r="A158" t="s">
        <v>397</v>
      </c>
      <c r="B158" t="s">
        <v>138</v>
      </c>
      <c r="C158" t="s">
        <v>274</v>
      </c>
      <c r="D158" t="s">
        <v>21</v>
      </c>
      <c r="E158" t="s">
        <v>33</v>
      </c>
      <c r="F158">
        <v>4</v>
      </c>
      <c r="G158">
        <v>24332</v>
      </c>
      <c r="H158">
        <v>97328</v>
      </c>
      <c r="I158" t="s">
        <v>48</v>
      </c>
      <c r="J158" t="s">
        <v>70</v>
      </c>
      <c r="K158">
        <v>5</v>
      </c>
    </row>
    <row r="159" spans="1:11" x14ac:dyDescent="0.3">
      <c r="A159" t="s">
        <v>398</v>
      </c>
      <c r="B159" t="s">
        <v>59</v>
      </c>
      <c r="C159" t="s">
        <v>399</v>
      </c>
      <c r="D159" t="s">
        <v>56</v>
      </c>
      <c r="E159" t="s">
        <v>57</v>
      </c>
      <c r="F159">
        <v>9</v>
      </c>
      <c r="G159">
        <v>27454</v>
      </c>
      <c r="H159">
        <v>247086</v>
      </c>
      <c r="I159" t="s">
        <v>64</v>
      </c>
      <c r="J159" t="s">
        <v>35</v>
      </c>
      <c r="K159">
        <v>1</v>
      </c>
    </row>
    <row r="160" spans="1:11" x14ac:dyDescent="0.3">
      <c r="A160" t="s">
        <v>400</v>
      </c>
      <c r="B160" t="s">
        <v>229</v>
      </c>
      <c r="C160" t="s">
        <v>132</v>
      </c>
      <c r="D160" t="s">
        <v>21</v>
      </c>
      <c r="E160" t="s">
        <v>33</v>
      </c>
      <c r="F160">
        <v>3</v>
      </c>
      <c r="G160">
        <v>8866</v>
      </c>
      <c r="H160">
        <v>26598</v>
      </c>
      <c r="I160" t="s">
        <v>48</v>
      </c>
      <c r="J160" t="s">
        <v>52</v>
      </c>
      <c r="K160">
        <v>3</v>
      </c>
    </row>
    <row r="161" spans="1:11" x14ac:dyDescent="0.3">
      <c r="A161" t="s">
        <v>401</v>
      </c>
      <c r="B161" t="s">
        <v>402</v>
      </c>
      <c r="C161" t="s">
        <v>403</v>
      </c>
      <c r="D161" t="s">
        <v>42</v>
      </c>
      <c r="E161" t="s">
        <v>43</v>
      </c>
      <c r="F161">
        <v>2</v>
      </c>
      <c r="G161">
        <v>25341</v>
      </c>
      <c r="H161">
        <v>50682</v>
      </c>
      <c r="I161" t="s">
        <v>23</v>
      </c>
      <c r="J161" t="s">
        <v>44</v>
      </c>
      <c r="K161">
        <v>3</v>
      </c>
    </row>
    <row r="162" spans="1:11" x14ac:dyDescent="0.3">
      <c r="A162" t="s">
        <v>404</v>
      </c>
      <c r="B162" t="s">
        <v>364</v>
      </c>
      <c r="C162" t="s">
        <v>328</v>
      </c>
      <c r="D162" t="s">
        <v>14</v>
      </c>
      <c r="E162" t="s">
        <v>15</v>
      </c>
      <c r="F162">
        <v>6</v>
      </c>
      <c r="G162">
        <v>2216</v>
      </c>
      <c r="H162">
        <v>13296</v>
      </c>
      <c r="I162" t="s">
        <v>64</v>
      </c>
      <c r="J162" t="s">
        <v>35</v>
      </c>
      <c r="K162">
        <v>1</v>
      </c>
    </row>
    <row r="163" spans="1:11" x14ac:dyDescent="0.3">
      <c r="A163" t="s">
        <v>405</v>
      </c>
      <c r="B163" t="s">
        <v>67</v>
      </c>
      <c r="C163" t="s">
        <v>406</v>
      </c>
      <c r="D163" t="s">
        <v>27</v>
      </c>
      <c r="E163" t="s">
        <v>87</v>
      </c>
      <c r="F163">
        <v>9</v>
      </c>
      <c r="G163">
        <v>20164</v>
      </c>
      <c r="H163">
        <v>181476</v>
      </c>
      <c r="I163" t="s">
        <v>16</v>
      </c>
      <c r="J163" t="s">
        <v>17</v>
      </c>
      <c r="K163">
        <v>4</v>
      </c>
    </row>
    <row r="164" spans="1:11" x14ac:dyDescent="0.3">
      <c r="A164" t="s">
        <v>407</v>
      </c>
      <c r="B164" t="s">
        <v>394</v>
      </c>
      <c r="C164" t="s">
        <v>359</v>
      </c>
      <c r="D164" t="s">
        <v>42</v>
      </c>
      <c r="E164" t="s">
        <v>184</v>
      </c>
      <c r="F164">
        <v>4</v>
      </c>
      <c r="G164">
        <v>14403</v>
      </c>
      <c r="H164">
        <v>57612</v>
      </c>
      <c r="I164" t="s">
        <v>23</v>
      </c>
      <c r="J164" t="s">
        <v>29</v>
      </c>
      <c r="K164">
        <v>2</v>
      </c>
    </row>
    <row r="165" spans="1:11" x14ac:dyDescent="0.3">
      <c r="A165" t="s">
        <v>408</v>
      </c>
      <c r="B165" t="s">
        <v>409</v>
      </c>
      <c r="C165" t="s">
        <v>256</v>
      </c>
      <c r="D165" t="s">
        <v>27</v>
      </c>
      <c r="E165" t="s">
        <v>87</v>
      </c>
      <c r="F165">
        <v>5</v>
      </c>
      <c r="G165">
        <v>29790</v>
      </c>
      <c r="H165">
        <v>148950</v>
      </c>
      <c r="I165" t="s">
        <v>48</v>
      </c>
      <c r="J165" t="s">
        <v>44</v>
      </c>
      <c r="K165">
        <v>1</v>
      </c>
    </row>
    <row r="166" spans="1:11" x14ac:dyDescent="0.3">
      <c r="A166" t="s">
        <v>410</v>
      </c>
      <c r="B166" t="s">
        <v>411</v>
      </c>
      <c r="C166" t="s">
        <v>412</v>
      </c>
      <c r="D166" t="s">
        <v>21</v>
      </c>
      <c r="E166" t="s">
        <v>106</v>
      </c>
      <c r="F166">
        <v>6</v>
      </c>
      <c r="G166">
        <v>4078</v>
      </c>
      <c r="H166">
        <v>24468</v>
      </c>
      <c r="I166" t="s">
        <v>34</v>
      </c>
      <c r="J166" t="s">
        <v>65</v>
      </c>
      <c r="K166">
        <v>2</v>
      </c>
    </row>
    <row r="167" spans="1:11" x14ac:dyDescent="0.3">
      <c r="A167" t="s">
        <v>413</v>
      </c>
      <c r="B167" t="s">
        <v>155</v>
      </c>
      <c r="C167" t="s">
        <v>414</v>
      </c>
      <c r="D167" t="s">
        <v>21</v>
      </c>
      <c r="E167" t="s">
        <v>74</v>
      </c>
      <c r="F167">
        <v>2</v>
      </c>
      <c r="G167">
        <v>27034</v>
      </c>
      <c r="H167">
        <v>54068</v>
      </c>
      <c r="I167" t="s">
        <v>48</v>
      </c>
      <c r="J167" t="s">
        <v>136</v>
      </c>
      <c r="K167">
        <v>2</v>
      </c>
    </row>
    <row r="168" spans="1:11" x14ac:dyDescent="0.3">
      <c r="A168" t="s">
        <v>415</v>
      </c>
      <c r="B168" t="s">
        <v>416</v>
      </c>
      <c r="C168" t="s">
        <v>51</v>
      </c>
      <c r="D168" t="s">
        <v>27</v>
      </c>
      <c r="E168" t="s">
        <v>28</v>
      </c>
      <c r="F168">
        <v>5</v>
      </c>
      <c r="G168">
        <v>27909</v>
      </c>
      <c r="H168">
        <v>139545</v>
      </c>
      <c r="I168" t="s">
        <v>16</v>
      </c>
      <c r="J168" t="s">
        <v>70</v>
      </c>
      <c r="K168">
        <v>3</v>
      </c>
    </row>
    <row r="169" spans="1:11" x14ac:dyDescent="0.3">
      <c r="A169" t="s">
        <v>417</v>
      </c>
      <c r="B169" t="s">
        <v>389</v>
      </c>
      <c r="C169" t="s">
        <v>418</v>
      </c>
      <c r="D169" t="s">
        <v>42</v>
      </c>
      <c r="E169" t="s">
        <v>43</v>
      </c>
      <c r="F169">
        <v>5</v>
      </c>
      <c r="G169">
        <v>4648</v>
      </c>
      <c r="H169">
        <v>23240</v>
      </c>
      <c r="I169" t="s">
        <v>16</v>
      </c>
      <c r="J169" t="s">
        <v>136</v>
      </c>
      <c r="K169">
        <v>3</v>
      </c>
    </row>
    <row r="170" spans="1:11" x14ac:dyDescent="0.3">
      <c r="A170" t="s">
        <v>419</v>
      </c>
      <c r="B170" t="s">
        <v>54</v>
      </c>
      <c r="C170" t="s">
        <v>26</v>
      </c>
      <c r="D170" t="s">
        <v>42</v>
      </c>
      <c r="E170" t="s">
        <v>95</v>
      </c>
      <c r="F170">
        <v>6</v>
      </c>
      <c r="G170">
        <v>14724</v>
      </c>
      <c r="H170">
        <v>88344</v>
      </c>
      <c r="I170" t="s">
        <v>64</v>
      </c>
      <c r="J170" t="s">
        <v>44</v>
      </c>
      <c r="K170">
        <v>5</v>
      </c>
    </row>
    <row r="171" spans="1:11" x14ac:dyDescent="0.3">
      <c r="A171" t="s">
        <v>420</v>
      </c>
      <c r="B171" t="s">
        <v>100</v>
      </c>
      <c r="C171" t="s">
        <v>256</v>
      </c>
      <c r="D171" t="s">
        <v>14</v>
      </c>
      <c r="E171" t="s">
        <v>15</v>
      </c>
      <c r="F171">
        <v>7</v>
      </c>
      <c r="G171">
        <v>1564</v>
      </c>
      <c r="H171">
        <v>10948</v>
      </c>
      <c r="I171" t="s">
        <v>16</v>
      </c>
      <c r="J171" t="s">
        <v>52</v>
      </c>
      <c r="K171">
        <v>4</v>
      </c>
    </row>
    <row r="172" spans="1:11" x14ac:dyDescent="0.3">
      <c r="A172" t="s">
        <v>421</v>
      </c>
      <c r="B172" t="s">
        <v>422</v>
      </c>
      <c r="C172" t="s">
        <v>108</v>
      </c>
      <c r="D172" t="s">
        <v>14</v>
      </c>
      <c r="E172" t="s">
        <v>140</v>
      </c>
      <c r="F172">
        <v>3</v>
      </c>
      <c r="G172">
        <v>1473</v>
      </c>
      <c r="H172">
        <v>4419</v>
      </c>
      <c r="I172" t="s">
        <v>23</v>
      </c>
      <c r="J172" t="s">
        <v>65</v>
      </c>
      <c r="K172">
        <v>2</v>
      </c>
    </row>
    <row r="173" spans="1:11" x14ac:dyDescent="0.3">
      <c r="A173" t="s">
        <v>423</v>
      </c>
      <c r="B173" t="s">
        <v>299</v>
      </c>
      <c r="C173" t="s">
        <v>115</v>
      </c>
      <c r="D173" t="s">
        <v>42</v>
      </c>
      <c r="E173" t="s">
        <v>184</v>
      </c>
      <c r="F173">
        <v>4</v>
      </c>
      <c r="G173">
        <v>29727</v>
      </c>
      <c r="H173">
        <v>118908</v>
      </c>
      <c r="I173" t="s">
        <v>34</v>
      </c>
      <c r="J173" t="s">
        <v>150</v>
      </c>
      <c r="K173">
        <v>1</v>
      </c>
    </row>
    <row r="174" spans="1:11" x14ac:dyDescent="0.3">
      <c r="A174" t="s">
        <v>424</v>
      </c>
      <c r="B174" t="s">
        <v>247</v>
      </c>
      <c r="C174" t="s">
        <v>425</v>
      </c>
      <c r="D174" t="s">
        <v>56</v>
      </c>
      <c r="E174" t="s">
        <v>78</v>
      </c>
      <c r="F174">
        <v>4</v>
      </c>
      <c r="G174">
        <v>5180</v>
      </c>
      <c r="H174">
        <v>20720</v>
      </c>
      <c r="I174" t="s">
        <v>23</v>
      </c>
      <c r="J174" t="s">
        <v>150</v>
      </c>
      <c r="K174">
        <v>5</v>
      </c>
    </row>
    <row r="175" spans="1:11" x14ac:dyDescent="0.3">
      <c r="A175" t="s">
        <v>426</v>
      </c>
      <c r="B175" t="s">
        <v>198</v>
      </c>
      <c r="C175" t="s">
        <v>286</v>
      </c>
      <c r="D175" t="s">
        <v>56</v>
      </c>
      <c r="E175" t="s">
        <v>178</v>
      </c>
      <c r="F175">
        <v>6</v>
      </c>
      <c r="G175">
        <v>18675</v>
      </c>
      <c r="H175">
        <v>112050</v>
      </c>
      <c r="I175" t="s">
        <v>34</v>
      </c>
      <c r="J175" t="s">
        <v>136</v>
      </c>
      <c r="K175">
        <v>5</v>
      </c>
    </row>
    <row r="176" spans="1:11" x14ac:dyDescent="0.3">
      <c r="A176" t="s">
        <v>427</v>
      </c>
      <c r="B176" t="s">
        <v>67</v>
      </c>
      <c r="C176" t="s">
        <v>146</v>
      </c>
      <c r="D176" t="s">
        <v>14</v>
      </c>
      <c r="E176" t="s">
        <v>140</v>
      </c>
      <c r="F176">
        <v>8</v>
      </c>
      <c r="G176">
        <v>5772</v>
      </c>
      <c r="H176">
        <v>46176</v>
      </c>
      <c r="I176" t="s">
        <v>48</v>
      </c>
      <c r="J176" t="s">
        <v>52</v>
      </c>
      <c r="K176">
        <v>2</v>
      </c>
    </row>
    <row r="177" spans="1:11" x14ac:dyDescent="0.3">
      <c r="A177" t="s">
        <v>428</v>
      </c>
      <c r="B177" t="s">
        <v>429</v>
      </c>
      <c r="C177" t="s">
        <v>128</v>
      </c>
      <c r="D177" t="s">
        <v>27</v>
      </c>
      <c r="E177" t="s">
        <v>28</v>
      </c>
      <c r="F177">
        <v>3</v>
      </c>
      <c r="G177">
        <v>27208</v>
      </c>
      <c r="H177">
        <v>81624</v>
      </c>
      <c r="I177" t="s">
        <v>34</v>
      </c>
      <c r="J177" t="s">
        <v>29</v>
      </c>
      <c r="K177">
        <v>5</v>
      </c>
    </row>
    <row r="178" spans="1:11" x14ac:dyDescent="0.3">
      <c r="A178" t="s">
        <v>430</v>
      </c>
      <c r="B178" t="s">
        <v>19</v>
      </c>
      <c r="C178" t="s">
        <v>202</v>
      </c>
      <c r="D178" t="s">
        <v>56</v>
      </c>
      <c r="E178" t="s">
        <v>133</v>
      </c>
      <c r="F178">
        <v>2</v>
      </c>
      <c r="G178">
        <v>13097</v>
      </c>
      <c r="H178">
        <v>26194</v>
      </c>
      <c r="I178" t="s">
        <v>34</v>
      </c>
      <c r="J178" t="s">
        <v>136</v>
      </c>
      <c r="K178">
        <v>4</v>
      </c>
    </row>
    <row r="179" spans="1:11" x14ac:dyDescent="0.3">
      <c r="A179" t="s">
        <v>431</v>
      </c>
      <c r="B179" t="s">
        <v>432</v>
      </c>
      <c r="C179" t="s">
        <v>123</v>
      </c>
      <c r="D179" t="s">
        <v>27</v>
      </c>
      <c r="E179" t="s">
        <v>87</v>
      </c>
      <c r="F179">
        <v>8</v>
      </c>
      <c r="G179">
        <v>18540</v>
      </c>
      <c r="H179">
        <v>148320</v>
      </c>
      <c r="I179" t="s">
        <v>23</v>
      </c>
      <c r="J179" t="s">
        <v>91</v>
      </c>
      <c r="K179">
        <v>2</v>
      </c>
    </row>
    <row r="180" spans="1:11" x14ac:dyDescent="0.3">
      <c r="A180" t="s">
        <v>433</v>
      </c>
      <c r="B180" t="s">
        <v>434</v>
      </c>
      <c r="C180" t="s">
        <v>435</v>
      </c>
      <c r="D180" t="s">
        <v>14</v>
      </c>
      <c r="E180" t="s">
        <v>167</v>
      </c>
      <c r="F180">
        <v>10</v>
      </c>
      <c r="G180">
        <v>23963</v>
      </c>
      <c r="H180">
        <v>239630</v>
      </c>
      <c r="I180" t="s">
        <v>16</v>
      </c>
      <c r="J180" t="s">
        <v>17</v>
      </c>
      <c r="K180">
        <v>4</v>
      </c>
    </row>
    <row r="181" spans="1:11" x14ac:dyDescent="0.3">
      <c r="A181" t="s">
        <v>436</v>
      </c>
      <c r="B181" t="s">
        <v>437</v>
      </c>
      <c r="C181" t="s">
        <v>438</v>
      </c>
      <c r="D181" t="s">
        <v>14</v>
      </c>
      <c r="E181" t="s">
        <v>15</v>
      </c>
      <c r="F181">
        <v>7</v>
      </c>
      <c r="G181">
        <v>6929</v>
      </c>
      <c r="H181">
        <v>48503</v>
      </c>
      <c r="I181" t="s">
        <v>64</v>
      </c>
      <c r="J181" t="s">
        <v>136</v>
      </c>
      <c r="K181">
        <v>3</v>
      </c>
    </row>
    <row r="182" spans="1:11" x14ac:dyDescent="0.3">
      <c r="A182" t="s">
        <v>439</v>
      </c>
      <c r="B182" t="s">
        <v>440</v>
      </c>
      <c r="C182" t="s">
        <v>132</v>
      </c>
      <c r="D182" t="s">
        <v>42</v>
      </c>
      <c r="E182" t="s">
        <v>184</v>
      </c>
      <c r="F182">
        <v>3</v>
      </c>
      <c r="G182">
        <v>3454</v>
      </c>
      <c r="H182">
        <v>10362</v>
      </c>
      <c r="I182" t="s">
        <v>23</v>
      </c>
      <c r="J182" t="s">
        <v>44</v>
      </c>
      <c r="K182">
        <v>4</v>
      </c>
    </row>
    <row r="183" spans="1:11" x14ac:dyDescent="0.3">
      <c r="A183" t="s">
        <v>441</v>
      </c>
      <c r="B183" t="s">
        <v>188</v>
      </c>
      <c r="C183" t="s">
        <v>230</v>
      </c>
      <c r="D183" t="s">
        <v>56</v>
      </c>
      <c r="E183" t="s">
        <v>133</v>
      </c>
      <c r="F183">
        <v>1</v>
      </c>
      <c r="G183">
        <v>27997</v>
      </c>
      <c r="H183">
        <v>27997</v>
      </c>
      <c r="I183" t="s">
        <v>48</v>
      </c>
      <c r="J183" t="s">
        <v>35</v>
      </c>
      <c r="K183">
        <v>1</v>
      </c>
    </row>
    <row r="184" spans="1:11" x14ac:dyDescent="0.3">
      <c r="A184" t="s">
        <v>442</v>
      </c>
      <c r="B184" t="s">
        <v>443</v>
      </c>
      <c r="C184" t="s">
        <v>444</v>
      </c>
      <c r="D184" t="s">
        <v>21</v>
      </c>
      <c r="E184" t="s">
        <v>74</v>
      </c>
      <c r="F184">
        <v>5</v>
      </c>
      <c r="G184">
        <v>15125</v>
      </c>
      <c r="H184">
        <v>75625</v>
      </c>
      <c r="I184" t="s">
        <v>16</v>
      </c>
      <c r="J184" t="s">
        <v>52</v>
      </c>
      <c r="K184">
        <v>5</v>
      </c>
    </row>
    <row r="185" spans="1:11" x14ac:dyDescent="0.3">
      <c r="A185" t="s">
        <v>445</v>
      </c>
      <c r="B185" t="s">
        <v>83</v>
      </c>
      <c r="C185" t="s">
        <v>316</v>
      </c>
      <c r="D185" t="s">
        <v>14</v>
      </c>
      <c r="E185" t="s">
        <v>15</v>
      </c>
      <c r="F185">
        <v>5</v>
      </c>
      <c r="G185">
        <v>3567</v>
      </c>
      <c r="H185">
        <v>17835</v>
      </c>
      <c r="I185" t="s">
        <v>64</v>
      </c>
      <c r="J185" t="s">
        <v>65</v>
      </c>
      <c r="K185">
        <v>1</v>
      </c>
    </row>
    <row r="186" spans="1:11" x14ac:dyDescent="0.3">
      <c r="A186" t="s">
        <v>446</v>
      </c>
      <c r="B186" t="s">
        <v>122</v>
      </c>
      <c r="C186" t="s">
        <v>172</v>
      </c>
      <c r="D186" t="s">
        <v>21</v>
      </c>
      <c r="E186" t="s">
        <v>149</v>
      </c>
      <c r="F186">
        <v>3</v>
      </c>
      <c r="G186">
        <v>18032</v>
      </c>
      <c r="H186">
        <v>54096</v>
      </c>
      <c r="I186" t="s">
        <v>23</v>
      </c>
      <c r="J186" t="s">
        <v>136</v>
      </c>
      <c r="K186">
        <v>2</v>
      </c>
    </row>
    <row r="187" spans="1:11" x14ac:dyDescent="0.3">
      <c r="A187" t="s">
        <v>447</v>
      </c>
      <c r="B187" t="s">
        <v>372</v>
      </c>
      <c r="C187" t="s">
        <v>316</v>
      </c>
      <c r="D187" t="s">
        <v>56</v>
      </c>
      <c r="E187" t="s">
        <v>178</v>
      </c>
      <c r="F187">
        <v>8</v>
      </c>
      <c r="G187">
        <v>3363</v>
      </c>
      <c r="H187">
        <v>26904</v>
      </c>
      <c r="I187" t="s">
        <v>48</v>
      </c>
      <c r="J187" t="s">
        <v>91</v>
      </c>
      <c r="K187">
        <v>5</v>
      </c>
    </row>
    <row r="188" spans="1:11" x14ac:dyDescent="0.3">
      <c r="A188" t="s">
        <v>448</v>
      </c>
      <c r="B188" t="s">
        <v>72</v>
      </c>
      <c r="C188" t="s">
        <v>164</v>
      </c>
      <c r="D188" t="s">
        <v>42</v>
      </c>
      <c r="E188" t="s">
        <v>184</v>
      </c>
      <c r="F188">
        <v>4</v>
      </c>
      <c r="G188">
        <v>4863</v>
      </c>
      <c r="H188">
        <v>19452</v>
      </c>
      <c r="I188" t="s">
        <v>48</v>
      </c>
      <c r="J188" t="s">
        <v>17</v>
      </c>
      <c r="K188">
        <v>1</v>
      </c>
    </row>
    <row r="189" spans="1:11" x14ac:dyDescent="0.3">
      <c r="A189" t="s">
        <v>449</v>
      </c>
      <c r="B189" t="s">
        <v>176</v>
      </c>
      <c r="C189" t="s">
        <v>450</v>
      </c>
      <c r="D189" t="s">
        <v>21</v>
      </c>
      <c r="E189" t="s">
        <v>74</v>
      </c>
      <c r="F189">
        <v>3</v>
      </c>
      <c r="G189">
        <v>16270</v>
      </c>
      <c r="H189">
        <v>48810</v>
      </c>
      <c r="I189" t="s">
        <v>64</v>
      </c>
      <c r="J189" t="s">
        <v>70</v>
      </c>
      <c r="K189">
        <v>4</v>
      </c>
    </row>
    <row r="190" spans="1:11" x14ac:dyDescent="0.3">
      <c r="A190" t="s">
        <v>451</v>
      </c>
      <c r="B190" t="s">
        <v>437</v>
      </c>
      <c r="C190" t="s">
        <v>452</v>
      </c>
      <c r="D190" t="s">
        <v>27</v>
      </c>
      <c r="E190" t="s">
        <v>87</v>
      </c>
      <c r="F190">
        <v>9</v>
      </c>
      <c r="G190">
        <v>28458</v>
      </c>
      <c r="H190">
        <v>256122</v>
      </c>
      <c r="I190" t="s">
        <v>34</v>
      </c>
      <c r="J190" t="s">
        <v>150</v>
      </c>
      <c r="K190">
        <v>5</v>
      </c>
    </row>
    <row r="191" spans="1:11" x14ac:dyDescent="0.3">
      <c r="A191" t="s">
        <v>453</v>
      </c>
      <c r="B191" t="s">
        <v>304</v>
      </c>
      <c r="C191" t="s">
        <v>319</v>
      </c>
      <c r="D191" t="s">
        <v>27</v>
      </c>
      <c r="E191" t="s">
        <v>102</v>
      </c>
      <c r="F191">
        <v>10</v>
      </c>
      <c r="G191">
        <v>15248</v>
      </c>
      <c r="H191">
        <v>152480</v>
      </c>
      <c r="I191" t="s">
        <v>48</v>
      </c>
      <c r="J191" t="s">
        <v>29</v>
      </c>
      <c r="K191">
        <v>3</v>
      </c>
    </row>
    <row r="192" spans="1:11" x14ac:dyDescent="0.3">
      <c r="A192" t="s">
        <v>454</v>
      </c>
      <c r="B192" t="s">
        <v>402</v>
      </c>
      <c r="C192" t="s">
        <v>174</v>
      </c>
      <c r="D192" t="s">
        <v>27</v>
      </c>
      <c r="E192" t="s">
        <v>102</v>
      </c>
      <c r="F192">
        <v>7</v>
      </c>
      <c r="G192">
        <v>27241</v>
      </c>
      <c r="H192">
        <v>190687</v>
      </c>
      <c r="I192" t="s">
        <v>16</v>
      </c>
      <c r="J192" t="s">
        <v>65</v>
      </c>
      <c r="K192">
        <v>2</v>
      </c>
    </row>
    <row r="193" spans="1:11" x14ac:dyDescent="0.3">
      <c r="A193" t="s">
        <v>455</v>
      </c>
      <c r="B193" t="s">
        <v>456</v>
      </c>
      <c r="C193" t="s">
        <v>457</v>
      </c>
      <c r="D193" t="s">
        <v>14</v>
      </c>
      <c r="E193" t="s">
        <v>69</v>
      </c>
      <c r="F193">
        <v>4</v>
      </c>
      <c r="G193">
        <v>11758</v>
      </c>
      <c r="H193">
        <v>47032</v>
      </c>
      <c r="I193" t="s">
        <v>64</v>
      </c>
      <c r="J193" t="s">
        <v>17</v>
      </c>
      <c r="K193">
        <v>4</v>
      </c>
    </row>
    <row r="194" spans="1:11" x14ac:dyDescent="0.3">
      <c r="A194" t="s">
        <v>458</v>
      </c>
      <c r="B194" t="s">
        <v>344</v>
      </c>
      <c r="C194" t="s">
        <v>86</v>
      </c>
      <c r="D194" t="s">
        <v>56</v>
      </c>
      <c r="E194" t="s">
        <v>57</v>
      </c>
      <c r="F194">
        <v>7</v>
      </c>
      <c r="G194">
        <v>28536</v>
      </c>
      <c r="H194">
        <v>199752</v>
      </c>
      <c r="I194" t="s">
        <v>64</v>
      </c>
      <c r="J194" t="s">
        <v>136</v>
      </c>
      <c r="K194">
        <v>4</v>
      </c>
    </row>
    <row r="195" spans="1:11" x14ac:dyDescent="0.3">
      <c r="A195" t="s">
        <v>459</v>
      </c>
      <c r="B195" t="s">
        <v>389</v>
      </c>
      <c r="C195" t="s">
        <v>20</v>
      </c>
      <c r="D195" t="s">
        <v>56</v>
      </c>
      <c r="E195" t="s">
        <v>178</v>
      </c>
      <c r="F195">
        <v>9</v>
      </c>
      <c r="G195">
        <v>3279</v>
      </c>
      <c r="H195">
        <v>29511</v>
      </c>
      <c r="I195" t="s">
        <v>48</v>
      </c>
      <c r="J195" t="s">
        <v>29</v>
      </c>
      <c r="K195">
        <v>1</v>
      </c>
    </row>
    <row r="196" spans="1:11" x14ac:dyDescent="0.3">
      <c r="A196" t="s">
        <v>460</v>
      </c>
      <c r="B196" t="s">
        <v>89</v>
      </c>
      <c r="C196" t="s">
        <v>292</v>
      </c>
      <c r="D196" t="s">
        <v>27</v>
      </c>
      <c r="E196" t="s">
        <v>28</v>
      </c>
      <c r="F196">
        <v>10</v>
      </c>
      <c r="G196">
        <v>16626</v>
      </c>
      <c r="H196">
        <v>166260</v>
      </c>
      <c r="I196" t="s">
        <v>16</v>
      </c>
      <c r="J196" t="s">
        <v>52</v>
      </c>
      <c r="K196">
        <v>5</v>
      </c>
    </row>
    <row r="197" spans="1:11" x14ac:dyDescent="0.3">
      <c r="A197" t="s">
        <v>461</v>
      </c>
      <c r="B197" t="s">
        <v>462</v>
      </c>
      <c r="C197" t="s">
        <v>463</v>
      </c>
      <c r="D197" t="s">
        <v>42</v>
      </c>
      <c r="E197" t="s">
        <v>184</v>
      </c>
      <c r="F197">
        <v>9</v>
      </c>
      <c r="G197">
        <v>20461</v>
      </c>
      <c r="H197">
        <v>184149</v>
      </c>
      <c r="I197" t="s">
        <v>64</v>
      </c>
      <c r="J197" t="s">
        <v>44</v>
      </c>
      <c r="K197">
        <v>4</v>
      </c>
    </row>
    <row r="198" spans="1:11" x14ac:dyDescent="0.3">
      <c r="A198" t="s">
        <v>464</v>
      </c>
      <c r="B198" t="s">
        <v>462</v>
      </c>
      <c r="C198" t="s">
        <v>465</v>
      </c>
      <c r="D198" t="s">
        <v>14</v>
      </c>
      <c r="E198" t="s">
        <v>140</v>
      </c>
      <c r="F198">
        <v>8</v>
      </c>
      <c r="G198">
        <v>28304</v>
      </c>
      <c r="H198">
        <v>226432</v>
      </c>
      <c r="I198" t="s">
        <v>23</v>
      </c>
      <c r="J198" t="s">
        <v>136</v>
      </c>
      <c r="K198">
        <v>2</v>
      </c>
    </row>
    <row r="199" spans="1:11" x14ac:dyDescent="0.3">
      <c r="A199" t="s">
        <v>466</v>
      </c>
      <c r="B199" t="s">
        <v>237</v>
      </c>
      <c r="C199" t="s">
        <v>41</v>
      </c>
      <c r="D199" t="s">
        <v>56</v>
      </c>
      <c r="E199" t="s">
        <v>57</v>
      </c>
      <c r="F199">
        <v>10</v>
      </c>
      <c r="G199">
        <v>8600</v>
      </c>
      <c r="H199">
        <v>86000</v>
      </c>
      <c r="I199" t="s">
        <v>23</v>
      </c>
      <c r="J199" t="s">
        <v>65</v>
      </c>
      <c r="K199">
        <v>4</v>
      </c>
    </row>
    <row r="200" spans="1:11" x14ac:dyDescent="0.3">
      <c r="A200" t="s">
        <v>467</v>
      </c>
      <c r="B200" t="s">
        <v>468</v>
      </c>
      <c r="C200" t="s">
        <v>159</v>
      </c>
      <c r="D200" t="s">
        <v>56</v>
      </c>
      <c r="E200" t="s">
        <v>57</v>
      </c>
      <c r="F200">
        <v>4</v>
      </c>
      <c r="G200">
        <v>20721</v>
      </c>
      <c r="H200">
        <v>82884</v>
      </c>
      <c r="I200" t="s">
        <v>16</v>
      </c>
      <c r="J200" t="s">
        <v>44</v>
      </c>
      <c r="K200">
        <v>2</v>
      </c>
    </row>
    <row r="201" spans="1:11" x14ac:dyDescent="0.3">
      <c r="A201" t="s">
        <v>469</v>
      </c>
      <c r="B201" t="s">
        <v>470</v>
      </c>
      <c r="C201" t="s">
        <v>115</v>
      </c>
      <c r="D201" t="s">
        <v>56</v>
      </c>
      <c r="E201" t="s">
        <v>78</v>
      </c>
      <c r="F201">
        <v>7</v>
      </c>
      <c r="G201">
        <v>25127</v>
      </c>
      <c r="H201">
        <v>175889</v>
      </c>
      <c r="I201" t="s">
        <v>34</v>
      </c>
      <c r="J201" t="s">
        <v>52</v>
      </c>
      <c r="K201">
        <v>5</v>
      </c>
    </row>
    <row r="202" spans="1:11" x14ac:dyDescent="0.3">
      <c r="A202" t="s">
        <v>471</v>
      </c>
      <c r="B202" t="s">
        <v>193</v>
      </c>
      <c r="C202" t="s">
        <v>412</v>
      </c>
      <c r="D202" t="s">
        <v>21</v>
      </c>
      <c r="E202" t="s">
        <v>106</v>
      </c>
      <c r="F202">
        <v>7</v>
      </c>
      <c r="G202">
        <v>3522</v>
      </c>
      <c r="H202">
        <v>24654</v>
      </c>
      <c r="I202" t="s">
        <v>23</v>
      </c>
      <c r="J202" t="s">
        <v>70</v>
      </c>
      <c r="K202">
        <v>1</v>
      </c>
    </row>
    <row r="203" spans="1:11" x14ac:dyDescent="0.3">
      <c r="A203" t="s">
        <v>472</v>
      </c>
      <c r="B203" t="s">
        <v>350</v>
      </c>
      <c r="C203" t="s">
        <v>473</v>
      </c>
      <c r="D203" t="s">
        <v>21</v>
      </c>
      <c r="E203" t="s">
        <v>149</v>
      </c>
      <c r="F203">
        <v>4</v>
      </c>
      <c r="G203">
        <v>3876</v>
      </c>
      <c r="H203">
        <v>15504</v>
      </c>
      <c r="I203" t="s">
        <v>16</v>
      </c>
      <c r="J203" t="s">
        <v>150</v>
      </c>
      <c r="K203">
        <v>5</v>
      </c>
    </row>
    <row r="204" spans="1:11" x14ac:dyDescent="0.3">
      <c r="A204" t="s">
        <v>474</v>
      </c>
      <c r="B204" t="s">
        <v>270</v>
      </c>
      <c r="C204" t="s">
        <v>406</v>
      </c>
      <c r="D204" t="s">
        <v>42</v>
      </c>
      <c r="E204" t="s">
        <v>184</v>
      </c>
      <c r="F204">
        <v>9</v>
      </c>
      <c r="G204">
        <v>29582</v>
      </c>
      <c r="H204">
        <v>266238</v>
      </c>
      <c r="I204" t="s">
        <v>34</v>
      </c>
      <c r="J204" t="s">
        <v>29</v>
      </c>
      <c r="K204">
        <v>3</v>
      </c>
    </row>
    <row r="205" spans="1:11" x14ac:dyDescent="0.3">
      <c r="A205" t="s">
        <v>475</v>
      </c>
      <c r="B205" t="s">
        <v>97</v>
      </c>
      <c r="C205" t="s">
        <v>186</v>
      </c>
      <c r="D205" t="s">
        <v>27</v>
      </c>
      <c r="E205" t="s">
        <v>102</v>
      </c>
      <c r="F205">
        <v>3</v>
      </c>
      <c r="G205">
        <v>25570</v>
      </c>
      <c r="H205">
        <v>76710</v>
      </c>
      <c r="I205" t="s">
        <v>34</v>
      </c>
      <c r="J205" t="s">
        <v>29</v>
      </c>
      <c r="K205">
        <v>2</v>
      </c>
    </row>
    <row r="206" spans="1:11" x14ac:dyDescent="0.3">
      <c r="A206" t="s">
        <v>476</v>
      </c>
      <c r="B206" t="s">
        <v>372</v>
      </c>
      <c r="C206" t="s">
        <v>286</v>
      </c>
      <c r="D206" t="s">
        <v>56</v>
      </c>
      <c r="E206" t="s">
        <v>133</v>
      </c>
      <c r="F206">
        <v>5</v>
      </c>
      <c r="G206">
        <v>15486</v>
      </c>
      <c r="H206">
        <v>77430</v>
      </c>
      <c r="I206" t="s">
        <v>23</v>
      </c>
      <c r="J206" t="s">
        <v>17</v>
      </c>
      <c r="K206">
        <v>2</v>
      </c>
    </row>
    <row r="207" spans="1:11" x14ac:dyDescent="0.3">
      <c r="A207" t="s">
        <v>477</v>
      </c>
      <c r="B207" t="s">
        <v>432</v>
      </c>
      <c r="C207" t="s">
        <v>385</v>
      </c>
      <c r="D207" t="s">
        <v>42</v>
      </c>
      <c r="E207" t="s">
        <v>184</v>
      </c>
      <c r="F207">
        <v>10</v>
      </c>
      <c r="G207">
        <v>146</v>
      </c>
      <c r="H207">
        <v>1460</v>
      </c>
      <c r="I207" t="s">
        <v>23</v>
      </c>
      <c r="J207" t="s">
        <v>52</v>
      </c>
      <c r="K207">
        <v>3</v>
      </c>
    </row>
    <row r="208" spans="1:11" x14ac:dyDescent="0.3">
      <c r="A208" t="s">
        <v>478</v>
      </c>
      <c r="B208" t="s">
        <v>114</v>
      </c>
      <c r="C208" t="s">
        <v>444</v>
      </c>
      <c r="D208" t="s">
        <v>56</v>
      </c>
      <c r="E208" t="s">
        <v>133</v>
      </c>
      <c r="F208">
        <v>1</v>
      </c>
      <c r="G208">
        <v>11203</v>
      </c>
      <c r="H208">
        <v>11203</v>
      </c>
      <c r="I208" t="s">
        <v>16</v>
      </c>
      <c r="J208" t="s">
        <v>29</v>
      </c>
      <c r="K208">
        <v>5</v>
      </c>
    </row>
    <row r="209" spans="1:11" x14ac:dyDescent="0.3">
      <c r="A209" t="s">
        <v>479</v>
      </c>
      <c r="B209" t="s">
        <v>480</v>
      </c>
      <c r="C209" t="s">
        <v>77</v>
      </c>
      <c r="D209" t="s">
        <v>14</v>
      </c>
      <c r="E209" t="s">
        <v>69</v>
      </c>
      <c r="F209">
        <v>5</v>
      </c>
      <c r="G209">
        <v>29063</v>
      </c>
      <c r="H209">
        <v>145315</v>
      </c>
      <c r="I209" t="s">
        <v>34</v>
      </c>
      <c r="J209" t="s">
        <v>52</v>
      </c>
      <c r="K209">
        <v>2</v>
      </c>
    </row>
    <row r="210" spans="1:11" x14ac:dyDescent="0.3">
      <c r="A210" t="s">
        <v>481</v>
      </c>
      <c r="B210" t="s">
        <v>276</v>
      </c>
      <c r="C210" t="s">
        <v>482</v>
      </c>
      <c r="D210" t="s">
        <v>56</v>
      </c>
      <c r="E210" t="s">
        <v>133</v>
      </c>
      <c r="F210">
        <v>4</v>
      </c>
      <c r="G210">
        <v>23997</v>
      </c>
      <c r="H210">
        <v>95988</v>
      </c>
      <c r="I210" t="s">
        <v>64</v>
      </c>
      <c r="J210" t="s">
        <v>136</v>
      </c>
      <c r="K210">
        <v>3</v>
      </c>
    </row>
    <row r="211" spans="1:11" x14ac:dyDescent="0.3">
      <c r="A211" t="s">
        <v>483</v>
      </c>
      <c r="B211" t="s">
        <v>416</v>
      </c>
      <c r="C211" t="s">
        <v>484</v>
      </c>
      <c r="D211" t="s">
        <v>14</v>
      </c>
      <c r="E211" t="s">
        <v>15</v>
      </c>
      <c r="F211">
        <v>3</v>
      </c>
      <c r="G211">
        <v>375</v>
      </c>
      <c r="H211">
        <v>1125</v>
      </c>
      <c r="I211" t="s">
        <v>23</v>
      </c>
      <c r="J211" t="s">
        <v>91</v>
      </c>
      <c r="K211">
        <v>4</v>
      </c>
    </row>
    <row r="212" spans="1:11" x14ac:dyDescent="0.3">
      <c r="A212" t="s">
        <v>485</v>
      </c>
      <c r="B212" t="s">
        <v>188</v>
      </c>
      <c r="C212" t="s">
        <v>486</v>
      </c>
      <c r="D212" t="s">
        <v>42</v>
      </c>
      <c r="E212" t="s">
        <v>95</v>
      </c>
      <c r="F212">
        <v>9</v>
      </c>
      <c r="G212">
        <v>21176</v>
      </c>
      <c r="H212">
        <v>190584</v>
      </c>
      <c r="I212" t="s">
        <v>16</v>
      </c>
      <c r="J212" t="s">
        <v>29</v>
      </c>
      <c r="K212">
        <v>5</v>
      </c>
    </row>
    <row r="213" spans="1:11" x14ac:dyDescent="0.3">
      <c r="A213" t="s">
        <v>487</v>
      </c>
      <c r="B213" t="s">
        <v>80</v>
      </c>
      <c r="C213" t="s">
        <v>13</v>
      </c>
      <c r="D213" t="s">
        <v>27</v>
      </c>
      <c r="E213" t="s">
        <v>207</v>
      </c>
      <c r="F213">
        <v>7</v>
      </c>
      <c r="G213">
        <v>15878</v>
      </c>
      <c r="H213">
        <v>111146</v>
      </c>
      <c r="I213" t="s">
        <v>16</v>
      </c>
      <c r="J213" t="s">
        <v>52</v>
      </c>
      <c r="K213">
        <v>2</v>
      </c>
    </row>
    <row r="214" spans="1:11" x14ac:dyDescent="0.3">
      <c r="A214" t="s">
        <v>488</v>
      </c>
      <c r="B214" t="s">
        <v>76</v>
      </c>
      <c r="C214" t="s">
        <v>450</v>
      </c>
      <c r="D214" t="s">
        <v>21</v>
      </c>
      <c r="E214" t="s">
        <v>22</v>
      </c>
      <c r="F214">
        <v>1</v>
      </c>
      <c r="G214">
        <v>21663</v>
      </c>
      <c r="H214">
        <v>21663</v>
      </c>
      <c r="I214" t="s">
        <v>48</v>
      </c>
      <c r="J214" t="s">
        <v>150</v>
      </c>
      <c r="K214">
        <v>3</v>
      </c>
    </row>
    <row r="215" spans="1:11" x14ac:dyDescent="0.3">
      <c r="A215" t="s">
        <v>489</v>
      </c>
      <c r="B215" t="s">
        <v>470</v>
      </c>
      <c r="C215" t="s">
        <v>490</v>
      </c>
      <c r="D215" t="s">
        <v>56</v>
      </c>
      <c r="E215" t="s">
        <v>78</v>
      </c>
      <c r="F215">
        <v>8</v>
      </c>
      <c r="G215">
        <v>2066</v>
      </c>
      <c r="H215">
        <v>16528</v>
      </c>
      <c r="I215" t="s">
        <v>23</v>
      </c>
      <c r="J215" t="s">
        <v>52</v>
      </c>
      <c r="K215">
        <v>4</v>
      </c>
    </row>
    <row r="216" spans="1:11" x14ac:dyDescent="0.3">
      <c r="A216" t="s">
        <v>491</v>
      </c>
      <c r="B216" t="s">
        <v>232</v>
      </c>
      <c r="C216" t="s">
        <v>230</v>
      </c>
      <c r="D216" t="s">
        <v>56</v>
      </c>
      <c r="E216" t="s">
        <v>133</v>
      </c>
      <c r="F216">
        <v>10</v>
      </c>
      <c r="G216">
        <v>8400</v>
      </c>
      <c r="H216">
        <v>84000</v>
      </c>
      <c r="I216" t="s">
        <v>34</v>
      </c>
      <c r="J216" t="s">
        <v>29</v>
      </c>
      <c r="K216">
        <v>5</v>
      </c>
    </row>
    <row r="217" spans="1:11" x14ac:dyDescent="0.3">
      <c r="A217" t="s">
        <v>492</v>
      </c>
      <c r="B217" t="s">
        <v>432</v>
      </c>
      <c r="C217" t="s">
        <v>493</v>
      </c>
      <c r="D217" t="s">
        <v>42</v>
      </c>
      <c r="E217" t="s">
        <v>43</v>
      </c>
      <c r="F217">
        <v>6</v>
      </c>
      <c r="G217">
        <v>10441</v>
      </c>
      <c r="H217">
        <v>62646</v>
      </c>
      <c r="I217" t="s">
        <v>34</v>
      </c>
      <c r="J217" t="s">
        <v>65</v>
      </c>
      <c r="K217">
        <v>2</v>
      </c>
    </row>
    <row r="218" spans="1:11" x14ac:dyDescent="0.3">
      <c r="A218" t="s">
        <v>494</v>
      </c>
      <c r="B218" t="s">
        <v>495</v>
      </c>
      <c r="C218" t="s">
        <v>143</v>
      </c>
      <c r="D218" t="s">
        <v>42</v>
      </c>
      <c r="E218" t="s">
        <v>60</v>
      </c>
      <c r="F218">
        <v>8</v>
      </c>
      <c r="G218">
        <v>28287</v>
      </c>
      <c r="H218">
        <v>226296</v>
      </c>
      <c r="I218" t="s">
        <v>48</v>
      </c>
      <c r="J218" t="s">
        <v>150</v>
      </c>
      <c r="K218">
        <v>1</v>
      </c>
    </row>
    <row r="219" spans="1:11" x14ac:dyDescent="0.3">
      <c r="A219" t="s">
        <v>496</v>
      </c>
      <c r="B219" t="s">
        <v>443</v>
      </c>
      <c r="C219" t="s">
        <v>186</v>
      </c>
      <c r="D219" t="s">
        <v>56</v>
      </c>
      <c r="E219" t="s">
        <v>178</v>
      </c>
      <c r="F219">
        <v>1</v>
      </c>
      <c r="G219">
        <v>9506</v>
      </c>
      <c r="H219">
        <v>9506</v>
      </c>
      <c r="I219" t="s">
        <v>48</v>
      </c>
      <c r="J219" t="s">
        <v>70</v>
      </c>
      <c r="K219">
        <v>2</v>
      </c>
    </row>
    <row r="220" spans="1:11" x14ac:dyDescent="0.3">
      <c r="A220" t="s">
        <v>497</v>
      </c>
      <c r="B220" t="s">
        <v>495</v>
      </c>
      <c r="C220" t="s">
        <v>297</v>
      </c>
      <c r="D220" t="s">
        <v>14</v>
      </c>
      <c r="E220" t="s">
        <v>69</v>
      </c>
      <c r="F220">
        <v>5</v>
      </c>
      <c r="G220">
        <v>19863</v>
      </c>
      <c r="H220">
        <v>99315</v>
      </c>
      <c r="I220" t="s">
        <v>16</v>
      </c>
      <c r="J220" t="s">
        <v>29</v>
      </c>
      <c r="K220">
        <v>1</v>
      </c>
    </row>
    <row r="221" spans="1:11" x14ac:dyDescent="0.3">
      <c r="A221" t="s">
        <v>498</v>
      </c>
      <c r="B221" t="s">
        <v>409</v>
      </c>
      <c r="C221" t="s">
        <v>499</v>
      </c>
      <c r="D221" t="s">
        <v>42</v>
      </c>
      <c r="E221" t="s">
        <v>43</v>
      </c>
      <c r="F221">
        <v>9</v>
      </c>
      <c r="G221">
        <v>28523</v>
      </c>
      <c r="H221">
        <v>256707</v>
      </c>
      <c r="I221" t="s">
        <v>48</v>
      </c>
      <c r="J221" t="s">
        <v>52</v>
      </c>
      <c r="K221">
        <v>5</v>
      </c>
    </row>
    <row r="222" spans="1:11" x14ac:dyDescent="0.3">
      <c r="A222" t="s">
        <v>500</v>
      </c>
      <c r="B222" t="s">
        <v>19</v>
      </c>
      <c r="C222" t="s">
        <v>501</v>
      </c>
      <c r="D222" t="s">
        <v>56</v>
      </c>
      <c r="E222" t="s">
        <v>178</v>
      </c>
      <c r="F222">
        <v>7</v>
      </c>
      <c r="G222">
        <v>18277</v>
      </c>
      <c r="H222">
        <v>127939</v>
      </c>
      <c r="I222" t="s">
        <v>16</v>
      </c>
      <c r="J222" t="s">
        <v>52</v>
      </c>
      <c r="K222">
        <v>4</v>
      </c>
    </row>
    <row r="223" spans="1:11" x14ac:dyDescent="0.3">
      <c r="A223" t="s">
        <v>502</v>
      </c>
      <c r="B223" t="s">
        <v>394</v>
      </c>
      <c r="C223" t="s">
        <v>310</v>
      </c>
      <c r="D223" t="s">
        <v>56</v>
      </c>
      <c r="E223" t="s">
        <v>178</v>
      </c>
      <c r="F223">
        <v>5</v>
      </c>
      <c r="G223">
        <v>8618</v>
      </c>
      <c r="H223">
        <v>43090</v>
      </c>
      <c r="I223" t="s">
        <v>64</v>
      </c>
      <c r="J223" t="s">
        <v>70</v>
      </c>
      <c r="K223">
        <v>5</v>
      </c>
    </row>
    <row r="224" spans="1:11" x14ac:dyDescent="0.3">
      <c r="A224" t="s">
        <v>503</v>
      </c>
      <c r="B224" t="s">
        <v>152</v>
      </c>
      <c r="C224" t="s">
        <v>504</v>
      </c>
      <c r="D224" t="s">
        <v>21</v>
      </c>
      <c r="E224" t="s">
        <v>149</v>
      </c>
      <c r="F224">
        <v>1</v>
      </c>
      <c r="G224">
        <v>24092</v>
      </c>
      <c r="H224">
        <v>24092</v>
      </c>
      <c r="I224" t="s">
        <v>23</v>
      </c>
      <c r="J224" t="s">
        <v>65</v>
      </c>
      <c r="K224">
        <v>1</v>
      </c>
    </row>
    <row r="225" spans="1:11" x14ac:dyDescent="0.3">
      <c r="A225" t="s">
        <v>505</v>
      </c>
      <c r="B225" t="s">
        <v>281</v>
      </c>
      <c r="C225" t="s">
        <v>301</v>
      </c>
      <c r="D225" t="s">
        <v>42</v>
      </c>
      <c r="E225" t="s">
        <v>43</v>
      </c>
      <c r="F225">
        <v>7</v>
      </c>
      <c r="G225">
        <v>29209</v>
      </c>
      <c r="H225">
        <v>204463</v>
      </c>
      <c r="I225" t="s">
        <v>64</v>
      </c>
      <c r="J225" t="s">
        <v>150</v>
      </c>
      <c r="K225">
        <v>4</v>
      </c>
    </row>
    <row r="226" spans="1:11" x14ac:dyDescent="0.3">
      <c r="A226" t="s">
        <v>506</v>
      </c>
      <c r="B226" t="s">
        <v>299</v>
      </c>
      <c r="C226" t="s">
        <v>284</v>
      </c>
      <c r="D226" t="s">
        <v>42</v>
      </c>
      <c r="E226" t="s">
        <v>43</v>
      </c>
      <c r="F226">
        <v>1</v>
      </c>
      <c r="G226">
        <v>5803</v>
      </c>
      <c r="H226">
        <v>5803</v>
      </c>
      <c r="I226" t="s">
        <v>23</v>
      </c>
      <c r="J226" t="s">
        <v>17</v>
      </c>
      <c r="K226">
        <v>5</v>
      </c>
    </row>
    <row r="227" spans="1:11" x14ac:dyDescent="0.3">
      <c r="A227" t="s">
        <v>507</v>
      </c>
      <c r="B227" t="s">
        <v>97</v>
      </c>
      <c r="C227" t="s">
        <v>202</v>
      </c>
      <c r="D227" t="s">
        <v>21</v>
      </c>
      <c r="E227" t="s">
        <v>74</v>
      </c>
      <c r="F227">
        <v>5</v>
      </c>
      <c r="G227">
        <v>1383</v>
      </c>
      <c r="H227">
        <v>6915</v>
      </c>
      <c r="I227" t="s">
        <v>23</v>
      </c>
      <c r="J227" t="s">
        <v>35</v>
      </c>
      <c r="K227">
        <v>4</v>
      </c>
    </row>
    <row r="228" spans="1:11" x14ac:dyDescent="0.3">
      <c r="A228" t="s">
        <v>508</v>
      </c>
      <c r="B228" t="s">
        <v>509</v>
      </c>
      <c r="C228" t="s">
        <v>206</v>
      </c>
      <c r="D228" t="s">
        <v>56</v>
      </c>
      <c r="E228" t="s">
        <v>178</v>
      </c>
      <c r="F228">
        <v>3</v>
      </c>
      <c r="G228">
        <v>8890</v>
      </c>
      <c r="H228">
        <v>26670</v>
      </c>
      <c r="I228" t="s">
        <v>64</v>
      </c>
      <c r="J228" t="s">
        <v>44</v>
      </c>
      <c r="K228">
        <v>1</v>
      </c>
    </row>
    <row r="229" spans="1:11" x14ac:dyDescent="0.3">
      <c r="A229" t="s">
        <v>510</v>
      </c>
      <c r="B229" t="s">
        <v>145</v>
      </c>
      <c r="C229" t="s">
        <v>511</v>
      </c>
      <c r="D229" t="s">
        <v>27</v>
      </c>
      <c r="E229" t="s">
        <v>207</v>
      </c>
      <c r="F229">
        <v>8</v>
      </c>
      <c r="G229">
        <v>8153</v>
      </c>
      <c r="H229">
        <v>65224</v>
      </c>
      <c r="I229" t="s">
        <v>48</v>
      </c>
      <c r="J229" t="s">
        <v>35</v>
      </c>
      <c r="K229">
        <v>3</v>
      </c>
    </row>
    <row r="230" spans="1:11" x14ac:dyDescent="0.3">
      <c r="A230" t="s">
        <v>512</v>
      </c>
      <c r="B230" t="s">
        <v>513</v>
      </c>
      <c r="C230" t="s">
        <v>514</v>
      </c>
      <c r="D230" t="s">
        <v>21</v>
      </c>
      <c r="E230" t="s">
        <v>74</v>
      </c>
      <c r="F230">
        <v>8</v>
      </c>
      <c r="G230">
        <v>1533</v>
      </c>
      <c r="H230">
        <v>12264</v>
      </c>
      <c r="I230" t="s">
        <v>48</v>
      </c>
      <c r="J230" t="s">
        <v>52</v>
      </c>
      <c r="K230">
        <v>3</v>
      </c>
    </row>
    <row r="231" spans="1:11" x14ac:dyDescent="0.3">
      <c r="A231" t="s">
        <v>515</v>
      </c>
      <c r="B231" t="s">
        <v>354</v>
      </c>
      <c r="C231" t="s">
        <v>161</v>
      </c>
      <c r="D231" t="s">
        <v>27</v>
      </c>
      <c r="E231" t="s">
        <v>207</v>
      </c>
      <c r="F231">
        <v>6</v>
      </c>
      <c r="G231">
        <v>23287</v>
      </c>
      <c r="H231">
        <v>139722</v>
      </c>
      <c r="I231" t="s">
        <v>48</v>
      </c>
      <c r="J231" t="s">
        <v>150</v>
      </c>
      <c r="K231">
        <v>5</v>
      </c>
    </row>
    <row r="232" spans="1:11" x14ac:dyDescent="0.3">
      <c r="A232" t="s">
        <v>516</v>
      </c>
      <c r="B232" t="s">
        <v>169</v>
      </c>
      <c r="C232" t="s">
        <v>399</v>
      </c>
      <c r="D232" t="s">
        <v>56</v>
      </c>
      <c r="E232" t="s">
        <v>78</v>
      </c>
      <c r="F232">
        <v>2</v>
      </c>
      <c r="G232">
        <v>9611</v>
      </c>
      <c r="H232">
        <v>19222</v>
      </c>
      <c r="I232" t="s">
        <v>34</v>
      </c>
      <c r="J232" t="s">
        <v>35</v>
      </c>
      <c r="K232">
        <v>2</v>
      </c>
    </row>
    <row r="233" spans="1:11" x14ac:dyDescent="0.3">
      <c r="A233" t="s">
        <v>517</v>
      </c>
      <c r="B233" t="s">
        <v>344</v>
      </c>
      <c r="C233" t="s">
        <v>374</v>
      </c>
      <c r="D233" t="s">
        <v>42</v>
      </c>
      <c r="E233" t="s">
        <v>43</v>
      </c>
      <c r="F233">
        <v>8</v>
      </c>
      <c r="G233">
        <v>4126</v>
      </c>
      <c r="H233">
        <v>33008</v>
      </c>
      <c r="I233" t="s">
        <v>48</v>
      </c>
      <c r="J233" t="s">
        <v>35</v>
      </c>
      <c r="K233">
        <v>2</v>
      </c>
    </row>
    <row r="234" spans="1:11" x14ac:dyDescent="0.3">
      <c r="A234" t="s">
        <v>518</v>
      </c>
      <c r="B234" t="s">
        <v>519</v>
      </c>
      <c r="C234" t="s">
        <v>274</v>
      </c>
      <c r="D234" t="s">
        <v>56</v>
      </c>
      <c r="E234" t="s">
        <v>78</v>
      </c>
      <c r="F234">
        <v>6</v>
      </c>
      <c r="G234">
        <v>9454</v>
      </c>
      <c r="H234">
        <v>56724</v>
      </c>
      <c r="I234" t="s">
        <v>48</v>
      </c>
      <c r="J234" t="s">
        <v>91</v>
      </c>
      <c r="K234">
        <v>4</v>
      </c>
    </row>
    <row r="235" spans="1:11" x14ac:dyDescent="0.3">
      <c r="A235" t="s">
        <v>520</v>
      </c>
      <c r="B235" t="s">
        <v>376</v>
      </c>
      <c r="C235" t="s">
        <v>313</v>
      </c>
      <c r="D235" t="s">
        <v>21</v>
      </c>
      <c r="E235" t="s">
        <v>149</v>
      </c>
      <c r="F235">
        <v>1</v>
      </c>
      <c r="G235">
        <v>29637</v>
      </c>
      <c r="H235">
        <v>29637</v>
      </c>
      <c r="I235" t="s">
        <v>64</v>
      </c>
      <c r="J235" t="s">
        <v>65</v>
      </c>
      <c r="K235">
        <v>5</v>
      </c>
    </row>
    <row r="236" spans="1:11" x14ac:dyDescent="0.3">
      <c r="A236" t="s">
        <v>521</v>
      </c>
      <c r="B236" t="s">
        <v>312</v>
      </c>
      <c r="C236" t="s">
        <v>522</v>
      </c>
      <c r="D236" t="s">
        <v>56</v>
      </c>
      <c r="E236" t="s">
        <v>78</v>
      </c>
      <c r="F236">
        <v>3</v>
      </c>
      <c r="G236">
        <v>20072</v>
      </c>
      <c r="H236">
        <v>60216</v>
      </c>
      <c r="I236" t="s">
        <v>34</v>
      </c>
      <c r="J236" t="s">
        <v>150</v>
      </c>
      <c r="K236">
        <v>3</v>
      </c>
    </row>
    <row r="237" spans="1:11" x14ac:dyDescent="0.3">
      <c r="A237" t="s">
        <v>523</v>
      </c>
      <c r="B237" t="s">
        <v>394</v>
      </c>
      <c r="C237" t="s">
        <v>196</v>
      </c>
      <c r="D237" t="s">
        <v>14</v>
      </c>
      <c r="E237" t="s">
        <v>69</v>
      </c>
      <c r="F237">
        <v>3</v>
      </c>
      <c r="G237">
        <v>18250</v>
      </c>
      <c r="H237">
        <v>54750</v>
      </c>
      <c r="I237" t="s">
        <v>34</v>
      </c>
      <c r="J237" t="s">
        <v>35</v>
      </c>
      <c r="K237">
        <v>4</v>
      </c>
    </row>
    <row r="238" spans="1:11" x14ac:dyDescent="0.3">
      <c r="A238" t="s">
        <v>524</v>
      </c>
      <c r="B238" t="s">
        <v>188</v>
      </c>
      <c r="C238" t="s">
        <v>183</v>
      </c>
      <c r="D238" t="s">
        <v>56</v>
      </c>
      <c r="E238" t="s">
        <v>133</v>
      </c>
      <c r="F238">
        <v>6</v>
      </c>
      <c r="G238">
        <v>12883</v>
      </c>
      <c r="H238">
        <v>77298</v>
      </c>
      <c r="I238" t="s">
        <v>23</v>
      </c>
      <c r="J238" t="s">
        <v>91</v>
      </c>
      <c r="K238">
        <v>2</v>
      </c>
    </row>
    <row r="239" spans="1:11" x14ac:dyDescent="0.3">
      <c r="A239" t="s">
        <v>525</v>
      </c>
      <c r="B239" t="s">
        <v>296</v>
      </c>
      <c r="C239" t="s">
        <v>526</v>
      </c>
      <c r="D239" t="s">
        <v>14</v>
      </c>
      <c r="E239" t="s">
        <v>69</v>
      </c>
      <c r="F239">
        <v>6</v>
      </c>
      <c r="G239">
        <v>19408</v>
      </c>
      <c r="H239">
        <v>116448</v>
      </c>
      <c r="I239" t="s">
        <v>23</v>
      </c>
      <c r="J239" t="s">
        <v>136</v>
      </c>
      <c r="K239">
        <v>5</v>
      </c>
    </row>
    <row r="240" spans="1:11" x14ac:dyDescent="0.3">
      <c r="A240" t="s">
        <v>527</v>
      </c>
      <c r="B240" t="s">
        <v>155</v>
      </c>
      <c r="C240" t="s">
        <v>528</v>
      </c>
      <c r="D240" t="s">
        <v>42</v>
      </c>
      <c r="E240" t="s">
        <v>95</v>
      </c>
      <c r="F240">
        <v>6</v>
      </c>
      <c r="G240">
        <v>16521</v>
      </c>
      <c r="H240">
        <v>99126</v>
      </c>
      <c r="I240" t="s">
        <v>64</v>
      </c>
      <c r="J240" t="s">
        <v>52</v>
      </c>
      <c r="K240">
        <v>5</v>
      </c>
    </row>
    <row r="241" spans="1:11" x14ac:dyDescent="0.3">
      <c r="A241" t="s">
        <v>529</v>
      </c>
      <c r="B241" t="s">
        <v>255</v>
      </c>
      <c r="C241" t="s">
        <v>250</v>
      </c>
      <c r="D241" t="s">
        <v>14</v>
      </c>
      <c r="E241" t="s">
        <v>167</v>
      </c>
      <c r="F241">
        <v>6</v>
      </c>
      <c r="G241">
        <v>23816</v>
      </c>
      <c r="H241">
        <v>142896</v>
      </c>
      <c r="I241" t="s">
        <v>16</v>
      </c>
      <c r="J241" t="s">
        <v>52</v>
      </c>
      <c r="K241">
        <v>3</v>
      </c>
    </row>
    <row r="242" spans="1:11" x14ac:dyDescent="0.3">
      <c r="A242" t="s">
        <v>530</v>
      </c>
      <c r="B242" t="s">
        <v>163</v>
      </c>
      <c r="C242" t="s">
        <v>531</v>
      </c>
      <c r="D242" t="s">
        <v>21</v>
      </c>
      <c r="E242" t="s">
        <v>149</v>
      </c>
      <c r="F242">
        <v>5</v>
      </c>
      <c r="G242">
        <v>26101</v>
      </c>
      <c r="H242">
        <v>130505</v>
      </c>
      <c r="I242" t="s">
        <v>64</v>
      </c>
      <c r="J242" t="s">
        <v>29</v>
      </c>
      <c r="K242">
        <v>5</v>
      </c>
    </row>
    <row r="243" spans="1:11" x14ac:dyDescent="0.3">
      <c r="A243" t="s">
        <v>532</v>
      </c>
      <c r="B243" t="s">
        <v>519</v>
      </c>
      <c r="C243" t="s">
        <v>316</v>
      </c>
      <c r="D243" t="s">
        <v>14</v>
      </c>
      <c r="E243" t="s">
        <v>167</v>
      </c>
      <c r="F243">
        <v>1</v>
      </c>
      <c r="G243">
        <v>15325</v>
      </c>
      <c r="H243">
        <v>15325</v>
      </c>
      <c r="I243" t="s">
        <v>34</v>
      </c>
      <c r="J243" t="s">
        <v>91</v>
      </c>
      <c r="K243">
        <v>5</v>
      </c>
    </row>
    <row r="244" spans="1:11" x14ac:dyDescent="0.3">
      <c r="A244" t="s">
        <v>533</v>
      </c>
      <c r="B244" t="s">
        <v>201</v>
      </c>
      <c r="C244" t="s">
        <v>174</v>
      </c>
      <c r="D244" t="s">
        <v>14</v>
      </c>
      <c r="E244" t="s">
        <v>15</v>
      </c>
      <c r="F244">
        <v>3</v>
      </c>
      <c r="G244">
        <v>2968</v>
      </c>
      <c r="H244">
        <v>8904</v>
      </c>
      <c r="I244" t="s">
        <v>64</v>
      </c>
      <c r="J244" t="s">
        <v>44</v>
      </c>
      <c r="K244">
        <v>3</v>
      </c>
    </row>
    <row r="245" spans="1:11" x14ac:dyDescent="0.3">
      <c r="A245" t="s">
        <v>534</v>
      </c>
      <c r="B245" t="s">
        <v>535</v>
      </c>
      <c r="C245" t="s">
        <v>499</v>
      </c>
      <c r="D245" t="s">
        <v>27</v>
      </c>
      <c r="E245" t="s">
        <v>207</v>
      </c>
      <c r="F245">
        <v>4</v>
      </c>
      <c r="G245">
        <v>634</v>
      </c>
      <c r="H245">
        <v>2536</v>
      </c>
      <c r="I245" t="s">
        <v>23</v>
      </c>
      <c r="J245" t="s">
        <v>35</v>
      </c>
      <c r="K245">
        <v>2</v>
      </c>
    </row>
    <row r="246" spans="1:11" x14ac:dyDescent="0.3">
      <c r="A246" t="s">
        <v>536</v>
      </c>
      <c r="B246" t="s">
        <v>537</v>
      </c>
      <c r="C246" t="s">
        <v>406</v>
      </c>
      <c r="D246" t="s">
        <v>42</v>
      </c>
      <c r="E246" t="s">
        <v>184</v>
      </c>
      <c r="F246">
        <v>10</v>
      </c>
      <c r="G246">
        <v>8386</v>
      </c>
      <c r="H246">
        <v>83860</v>
      </c>
      <c r="I246" t="s">
        <v>23</v>
      </c>
      <c r="J246" t="s">
        <v>29</v>
      </c>
      <c r="K246">
        <v>3</v>
      </c>
    </row>
    <row r="247" spans="1:11" x14ac:dyDescent="0.3">
      <c r="A247" t="s">
        <v>538</v>
      </c>
      <c r="B247" t="s">
        <v>468</v>
      </c>
      <c r="C247" t="s">
        <v>330</v>
      </c>
      <c r="D247" t="s">
        <v>42</v>
      </c>
      <c r="E247" t="s">
        <v>95</v>
      </c>
      <c r="F247">
        <v>5</v>
      </c>
      <c r="G247">
        <v>21330</v>
      </c>
      <c r="H247">
        <v>106650</v>
      </c>
      <c r="I247" t="s">
        <v>23</v>
      </c>
      <c r="J247" t="s">
        <v>17</v>
      </c>
      <c r="K247">
        <v>3</v>
      </c>
    </row>
    <row r="248" spans="1:11" x14ac:dyDescent="0.3">
      <c r="A248" t="s">
        <v>539</v>
      </c>
      <c r="B248" t="s">
        <v>176</v>
      </c>
      <c r="C248" t="s">
        <v>319</v>
      </c>
      <c r="D248" t="s">
        <v>14</v>
      </c>
      <c r="E248" t="s">
        <v>69</v>
      </c>
      <c r="F248">
        <v>4</v>
      </c>
      <c r="G248">
        <v>2804</v>
      </c>
      <c r="H248">
        <v>11216</v>
      </c>
      <c r="I248" t="s">
        <v>34</v>
      </c>
      <c r="J248" t="s">
        <v>35</v>
      </c>
      <c r="K248">
        <v>1</v>
      </c>
    </row>
    <row r="249" spans="1:11" x14ac:dyDescent="0.3">
      <c r="A249" t="s">
        <v>540</v>
      </c>
      <c r="B249" t="s">
        <v>299</v>
      </c>
      <c r="C249" t="s">
        <v>313</v>
      </c>
      <c r="D249" t="s">
        <v>21</v>
      </c>
      <c r="E249" t="s">
        <v>149</v>
      </c>
      <c r="F249">
        <v>4</v>
      </c>
      <c r="G249">
        <v>2304</v>
      </c>
      <c r="H249">
        <v>9216</v>
      </c>
      <c r="I249" t="s">
        <v>16</v>
      </c>
      <c r="J249" t="s">
        <v>70</v>
      </c>
      <c r="K249">
        <v>5</v>
      </c>
    </row>
    <row r="250" spans="1:11" x14ac:dyDescent="0.3">
      <c r="A250" t="s">
        <v>541</v>
      </c>
      <c r="B250" t="s">
        <v>135</v>
      </c>
      <c r="C250" t="s">
        <v>256</v>
      </c>
      <c r="D250" t="s">
        <v>21</v>
      </c>
      <c r="E250" t="s">
        <v>74</v>
      </c>
      <c r="F250">
        <v>9</v>
      </c>
      <c r="G250">
        <v>25895</v>
      </c>
      <c r="H250">
        <v>233055</v>
      </c>
      <c r="I250" t="s">
        <v>34</v>
      </c>
      <c r="J250" t="s">
        <v>150</v>
      </c>
      <c r="K250">
        <v>3</v>
      </c>
    </row>
    <row r="251" spans="1:11" x14ac:dyDescent="0.3">
      <c r="A251" t="s">
        <v>542</v>
      </c>
      <c r="B251" t="s">
        <v>67</v>
      </c>
      <c r="C251" t="s">
        <v>457</v>
      </c>
      <c r="D251" t="s">
        <v>56</v>
      </c>
      <c r="E251" t="s">
        <v>57</v>
      </c>
      <c r="F251">
        <v>7</v>
      </c>
      <c r="G251">
        <v>11084</v>
      </c>
      <c r="H251">
        <v>77588</v>
      </c>
      <c r="I251" t="s">
        <v>23</v>
      </c>
      <c r="J251" t="s">
        <v>150</v>
      </c>
      <c r="K251">
        <v>2</v>
      </c>
    </row>
    <row r="252" spans="1:11" x14ac:dyDescent="0.3">
      <c r="A252" t="s">
        <v>543</v>
      </c>
      <c r="B252" t="s">
        <v>50</v>
      </c>
      <c r="C252" t="s">
        <v>544</v>
      </c>
      <c r="D252" t="s">
        <v>42</v>
      </c>
      <c r="E252" t="s">
        <v>43</v>
      </c>
      <c r="F252">
        <v>2</v>
      </c>
      <c r="G252">
        <v>29775</v>
      </c>
      <c r="H252">
        <v>59550</v>
      </c>
      <c r="I252" t="s">
        <v>64</v>
      </c>
      <c r="J252" t="s">
        <v>29</v>
      </c>
      <c r="K252">
        <v>5</v>
      </c>
    </row>
    <row r="253" spans="1:11" x14ac:dyDescent="0.3">
      <c r="A253" t="s">
        <v>545</v>
      </c>
      <c r="B253" t="s">
        <v>130</v>
      </c>
      <c r="C253" t="s">
        <v>156</v>
      </c>
      <c r="D253" t="s">
        <v>14</v>
      </c>
      <c r="E253" t="s">
        <v>69</v>
      </c>
      <c r="F253">
        <v>6</v>
      </c>
      <c r="G253">
        <v>16479</v>
      </c>
      <c r="H253">
        <v>98874</v>
      </c>
      <c r="I253" t="s">
        <v>34</v>
      </c>
      <c r="J253" t="s">
        <v>35</v>
      </c>
      <c r="K253">
        <v>2</v>
      </c>
    </row>
    <row r="254" spans="1:11" x14ac:dyDescent="0.3">
      <c r="A254" t="s">
        <v>546</v>
      </c>
      <c r="B254" t="s">
        <v>205</v>
      </c>
      <c r="C254" t="s">
        <v>345</v>
      </c>
      <c r="D254" t="s">
        <v>56</v>
      </c>
      <c r="E254" t="s">
        <v>133</v>
      </c>
      <c r="F254">
        <v>9</v>
      </c>
      <c r="G254">
        <v>26265</v>
      </c>
      <c r="H254">
        <v>236385</v>
      </c>
      <c r="I254" t="s">
        <v>34</v>
      </c>
      <c r="J254" t="s">
        <v>150</v>
      </c>
      <c r="K254">
        <v>5</v>
      </c>
    </row>
    <row r="255" spans="1:11" x14ac:dyDescent="0.3">
      <c r="A255" t="s">
        <v>547</v>
      </c>
      <c r="B255" t="s">
        <v>237</v>
      </c>
      <c r="C255" t="s">
        <v>374</v>
      </c>
      <c r="D255" t="s">
        <v>21</v>
      </c>
      <c r="E255" t="s">
        <v>106</v>
      </c>
      <c r="F255">
        <v>5</v>
      </c>
      <c r="G255">
        <v>25861</v>
      </c>
      <c r="H255">
        <v>129305</v>
      </c>
      <c r="I255" t="s">
        <v>48</v>
      </c>
      <c r="J255" t="s">
        <v>65</v>
      </c>
      <c r="K255">
        <v>2</v>
      </c>
    </row>
    <row r="256" spans="1:11" x14ac:dyDescent="0.3">
      <c r="A256" t="s">
        <v>548</v>
      </c>
      <c r="B256" t="s">
        <v>456</v>
      </c>
      <c r="C256" t="s">
        <v>222</v>
      </c>
      <c r="D256" t="s">
        <v>27</v>
      </c>
      <c r="E256" t="s">
        <v>207</v>
      </c>
      <c r="F256">
        <v>4</v>
      </c>
      <c r="G256">
        <v>19421</v>
      </c>
      <c r="H256">
        <v>77684</v>
      </c>
      <c r="I256" t="s">
        <v>48</v>
      </c>
      <c r="J256" t="s">
        <v>52</v>
      </c>
      <c r="K256">
        <v>3</v>
      </c>
    </row>
    <row r="257" spans="1:11" x14ac:dyDescent="0.3">
      <c r="A257" t="s">
        <v>549</v>
      </c>
      <c r="B257" t="s">
        <v>198</v>
      </c>
      <c r="C257" t="s">
        <v>438</v>
      </c>
      <c r="D257" t="s">
        <v>56</v>
      </c>
      <c r="E257" t="s">
        <v>133</v>
      </c>
      <c r="F257">
        <v>3</v>
      </c>
      <c r="G257">
        <v>3715</v>
      </c>
      <c r="H257">
        <v>11145</v>
      </c>
      <c r="I257" t="s">
        <v>64</v>
      </c>
      <c r="J257" t="s">
        <v>17</v>
      </c>
      <c r="K257">
        <v>4</v>
      </c>
    </row>
    <row r="258" spans="1:11" x14ac:dyDescent="0.3">
      <c r="A258" t="s">
        <v>550</v>
      </c>
      <c r="B258" t="s">
        <v>402</v>
      </c>
      <c r="C258" t="s">
        <v>319</v>
      </c>
      <c r="D258" t="s">
        <v>14</v>
      </c>
      <c r="E258" t="s">
        <v>167</v>
      </c>
      <c r="F258">
        <v>1</v>
      </c>
      <c r="G258">
        <v>10474</v>
      </c>
      <c r="H258">
        <v>10474</v>
      </c>
      <c r="I258" t="s">
        <v>64</v>
      </c>
      <c r="J258" t="s">
        <v>150</v>
      </c>
      <c r="K258">
        <v>2</v>
      </c>
    </row>
    <row r="259" spans="1:11" x14ac:dyDescent="0.3">
      <c r="A259" t="s">
        <v>551</v>
      </c>
      <c r="B259" t="s">
        <v>552</v>
      </c>
      <c r="C259" t="s">
        <v>553</v>
      </c>
      <c r="D259" t="s">
        <v>21</v>
      </c>
      <c r="E259" t="s">
        <v>106</v>
      </c>
      <c r="F259">
        <v>10</v>
      </c>
      <c r="G259">
        <v>21960</v>
      </c>
      <c r="H259">
        <v>219600</v>
      </c>
      <c r="I259" t="s">
        <v>34</v>
      </c>
      <c r="J259" t="s">
        <v>17</v>
      </c>
      <c r="K259">
        <v>2</v>
      </c>
    </row>
    <row r="260" spans="1:11" x14ac:dyDescent="0.3">
      <c r="A260" t="s">
        <v>554</v>
      </c>
      <c r="B260" t="s">
        <v>97</v>
      </c>
      <c r="C260" t="s">
        <v>47</v>
      </c>
      <c r="D260" t="s">
        <v>14</v>
      </c>
      <c r="E260" t="s">
        <v>167</v>
      </c>
      <c r="F260">
        <v>7</v>
      </c>
      <c r="G260">
        <v>23268</v>
      </c>
      <c r="H260">
        <v>162876</v>
      </c>
      <c r="I260" t="s">
        <v>64</v>
      </c>
      <c r="J260" t="s">
        <v>44</v>
      </c>
      <c r="K260">
        <v>1</v>
      </c>
    </row>
    <row r="261" spans="1:11" x14ac:dyDescent="0.3">
      <c r="A261" t="s">
        <v>555</v>
      </c>
      <c r="B261" t="s">
        <v>40</v>
      </c>
      <c r="C261" t="s">
        <v>63</v>
      </c>
      <c r="D261" t="s">
        <v>42</v>
      </c>
      <c r="E261" t="s">
        <v>95</v>
      </c>
      <c r="F261">
        <v>4</v>
      </c>
      <c r="G261">
        <v>4982</v>
      </c>
      <c r="H261">
        <v>19928</v>
      </c>
      <c r="I261" t="s">
        <v>16</v>
      </c>
      <c r="J261" t="s">
        <v>29</v>
      </c>
      <c r="K261">
        <v>3</v>
      </c>
    </row>
    <row r="262" spans="1:11" x14ac:dyDescent="0.3">
      <c r="A262" t="s">
        <v>556</v>
      </c>
      <c r="B262" t="s">
        <v>255</v>
      </c>
      <c r="C262" t="s">
        <v>297</v>
      </c>
      <c r="D262" t="s">
        <v>42</v>
      </c>
      <c r="E262" t="s">
        <v>95</v>
      </c>
      <c r="F262">
        <v>1</v>
      </c>
      <c r="G262">
        <v>6240</v>
      </c>
      <c r="H262">
        <v>6240</v>
      </c>
      <c r="I262" t="s">
        <v>23</v>
      </c>
      <c r="J262" t="s">
        <v>91</v>
      </c>
      <c r="K262">
        <v>4</v>
      </c>
    </row>
    <row r="263" spans="1:11" x14ac:dyDescent="0.3">
      <c r="A263" t="s">
        <v>557</v>
      </c>
      <c r="B263" t="s">
        <v>97</v>
      </c>
      <c r="C263" t="s">
        <v>558</v>
      </c>
      <c r="D263" t="s">
        <v>27</v>
      </c>
      <c r="E263" t="s">
        <v>87</v>
      </c>
      <c r="F263">
        <v>4</v>
      </c>
      <c r="G263">
        <v>11299</v>
      </c>
      <c r="H263">
        <v>45196</v>
      </c>
      <c r="I263" t="s">
        <v>34</v>
      </c>
      <c r="J263" t="s">
        <v>35</v>
      </c>
      <c r="K263">
        <v>5</v>
      </c>
    </row>
    <row r="264" spans="1:11" x14ac:dyDescent="0.3">
      <c r="A264" t="s">
        <v>559</v>
      </c>
      <c r="B264" t="s">
        <v>209</v>
      </c>
      <c r="C264" t="s">
        <v>250</v>
      </c>
      <c r="D264" t="s">
        <v>21</v>
      </c>
      <c r="E264" t="s">
        <v>74</v>
      </c>
      <c r="F264">
        <v>9</v>
      </c>
      <c r="G264">
        <v>28109</v>
      </c>
      <c r="H264">
        <v>252981</v>
      </c>
      <c r="I264" t="s">
        <v>64</v>
      </c>
      <c r="J264" t="s">
        <v>65</v>
      </c>
      <c r="K264">
        <v>4</v>
      </c>
    </row>
    <row r="265" spans="1:11" x14ac:dyDescent="0.3">
      <c r="A265" t="s">
        <v>560</v>
      </c>
      <c r="B265" t="s">
        <v>93</v>
      </c>
      <c r="C265" t="s">
        <v>342</v>
      </c>
      <c r="D265" t="s">
        <v>21</v>
      </c>
      <c r="E265" t="s">
        <v>22</v>
      </c>
      <c r="F265">
        <v>8</v>
      </c>
      <c r="G265">
        <v>10189</v>
      </c>
      <c r="H265">
        <v>81512</v>
      </c>
      <c r="I265" t="s">
        <v>16</v>
      </c>
      <c r="J265" t="s">
        <v>136</v>
      </c>
      <c r="K265">
        <v>2</v>
      </c>
    </row>
    <row r="266" spans="1:11" x14ac:dyDescent="0.3">
      <c r="A266" t="s">
        <v>561</v>
      </c>
      <c r="B266" t="s">
        <v>193</v>
      </c>
      <c r="C266" t="s">
        <v>166</v>
      </c>
      <c r="D266" t="s">
        <v>42</v>
      </c>
      <c r="E266" t="s">
        <v>60</v>
      </c>
      <c r="F266">
        <v>10</v>
      </c>
      <c r="G266">
        <v>22809</v>
      </c>
      <c r="H266">
        <v>228090</v>
      </c>
      <c r="I266" t="s">
        <v>34</v>
      </c>
      <c r="J266" t="s">
        <v>17</v>
      </c>
      <c r="K266">
        <v>4</v>
      </c>
    </row>
    <row r="267" spans="1:11" x14ac:dyDescent="0.3">
      <c r="A267" t="s">
        <v>562</v>
      </c>
      <c r="B267" t="s">
        <v>409</v>
      </c>
      <c r="C267" t="s">
        <v>563</v>
      </c>
      <c r="D267" t="s">
        <v>42</v>
      </c>
      <c r="E267" t="s">
        <v>95</v>
      </c>
      <c r="F267">
        <v>5</v>
      </c>
      <c r="G267">
        <v>4258</v>
      </c>
      <c r="H267">
        <v>21290</v>
      </c>
      <c r="I267" t="s">
        <v>16</v>
      </c>
      <c r="J267" t="s">
        <v>29</v>
      </c>
      <c r="K267">
        <v>5</v>
      </c>
    </row>
    <row r="268" spans="1:11" x14ac:dyDescent="0.3">
      <c r="A268" t="s">
        <v>564</v>
      </c>
      <c r="B268" t="s">
        <v>432</v>
      </c>
      <c r="C268" t="s">
        <v>161</v>
      </c>
      <c r="D268" t="s">
        <v>27</v>
      </c>
      <c r="E268" t="s">
        <v>28</v>
      </c>
      <c r="F268">
        <v>4</v>
      </c>
      <c r="G268">
        <v>25606</v>
      </c>
      <c r="H268">
        <v>102424</v>
      </c>
      <c r="I268" t="s">
        <v>34</v>
      </c>
      <c r="J268" t="s">
        <v>17</v>
      </c>
      <c r="K268">
        <v>3</v>
      </c>
    </row>
    <row r="269" spans="1:11" x14ac:dyDescent="0.3">
      <c r="A269" t="s">
        <v>565</v>
      </c>
      <c r="B269" t="s">
        <v>566</v>
      </c>
      <c r="C269" t="s">
        <v>174</v>
      </c>
      <c r="D269" t="s">
        <v>42</v>
      </c>
      <c r="E269" t="s">
        <v>184</v>
      </c>
      <c r="F269">
        <v>2</v>
      </c>
      <c r="G269">
        <v>11000</v>
      </c>
      <c r="H269">
        <v>22000</v>
      </c>
      <c r="I269" t="s">
        <v>23</v>
      </c>
      <c r="J269" t="s">
        <v>17</v>
      </c>
      <c r="K269">
        <v>1</v>
      </c>
    </row>
    <row r="270" spans="1:11" x14ac:dyDescent="0.3">
      <c r="A270" t="s">
        <v>567</v>
      </c>
      <c r="B270" t="s">
        <v>145</v>
      </c>
      <c r="C270" t="s">
        <v>264</v>
      </c>
      <c r="D270" t="s">
        <v>27</v>
      </c>
      <c r="E270" t="s">
        <v>28</v>
      </c>
      <c r="F270">
        <v>4</v>
      </c>
      <c r="G270">
        <v>6672</v>
      </c>
      <c r="H270">
        <v>26688</v>
      </c>
      <c r="I270" t="s">
        <v>16</v>
      </c>
      <c r="J270" t="s">
        <v>52</v>
      </c>
      <c r="K270">
        <v>5</v>
      </c>
    </row>
    <row r="271" spans="1:11" x14ac:dyDescent="0.3">
      <c r="A271" t="s">
        <v>568</v>
      </c>
      <c r="B271" t="s">
        <v>456</v>
      </c>
      <c r="C271" t="s">
        <v>189</v>
      </c>
      <c r="D271" t="s">
        <v>27</v>
      </c>
      <c r="E271" t="s">
        <v>87</v>
      </c>
      <c r="F271">
        <v>9</v>
      </c>
      <c r="G271">
        <v>21350</v>
      </c>
      <c r="H271">
        <v>192150</v>
      </c>
      <c r="I271" t="s">
        <v>23</v>
      </c>
      <c r="J271" t="s">
        <v>35</v>
      </c>
      <c r="K271">
        <v>5</v>
      </c>
    </row>
    <row r="272" spans="1:11" x14ac:dyDescent="0.3">
      <c r="A272" t="s">
        <v>569</v>
      </c>
      <c r="B272" t="s">
        <v>437</v>
      </c>
      <c r="C272" t="s">
        <v>570</v>
      </c>
      <c r="D272" t="s">
        <v>27</v>
      </c>
      <c r="E272" t="s">
        <v>102</v>
      </c>
      <c r="F272">
        <v>8</v>
      </c>
      <c r="G272">
        <v>10250</v>
      </c>
      <c r="H272">
        <v>82000</v>
      </c>
      <c r="I272" t="s">
        <v>23</v>
      </c>
      <c r="J272" t="s">
        <v>70</v>
      </c>
      <c r="K272">
        <v>5</v>
      </c>
    </row>
    <row r="273" spans="1:11" x14ac:dyDescent="0.3">
      <c r="A273" t="s">
        <v>571</v>
      </c>
      <c r="B273" t="s">
        <v>572</v>
      </c>
      <c r="C273" t="s">
        <v>132</v>
      </c>
      <c r="D273" t="s">
        <v>21</v>
      </c>
      <c r="E273" t="s">
        <v>149</v>
      </c>
      <c r="F273">
        <v>6</v>
      </c>
      <c r="G273">
        <v>16198</v>
      </c>
      <c r="H273">
        <v>97188</v>
      </c>
      <c r="I273" t="s">
        <v>64</v>
      </c>
      <c r="J273" t="s">
        <v>17</v>
      </c>
      <c r="K273">
        <v>1</v>
      </c>
    </row>
    <row r="274" spans="1:11" x14ac:dyDescent="0.3">
      <c r="A274" t="s">
        <v>573</v>
      </c>
      <c r="B274" t="s">
        <v>519</v>
      </c>
      <c r="C274" t="s">
        <v>250</v>
      </c>
      <c r="D274" t="s">
        <v>14</v>
      </c>
      <c r="E274" t="s">
        <v>15</v>
      </c>
      <c r="F274">
        <v>6</v>
      </c>
      <c r="G274">
        <v>15546</v>
      </c>
      <c r="H274">
        <v>93276</v>
      </c>
      <c r="I274" t="s">
        <v>23</v>
      </c>
      <c r="J274" t="s">
        <v>91</v>
      </c>
      <c r="K274">
        <v>4</v>
      </c>
    </row>
    <row r="275" spans="1:11" x14ac:dyDescent="0.3">
      <c r="A275" t="s">
        <v>574</v>
      </c>
      <c r="B275" t="s">
        <v>25</v>
      </c>
      <c r="C275" t="s">
        <v>342</v>
      </c>
      <c r="D275" t="s">
        <v>14</v>
      </c>
      <c r="E275" t="s">
        <v>140</v>
      </c>
      <c r="F275">
        <v>1</v>
      </c>
      <c r="G275">
        <v>17082</v>
      </c>
      <c r="H275">
        <v>17082</v>
      </c>
      <c r="I275" t="s">
        <v>16</v>
      </c>
      <c r="J275" t="s">
        <v>17</v>
      </c>
      <c r="K275">
        <v>5</v>
      </c>
    </row>
    <row r="276" spans="1:11" x14ac:dyDescent="0.3">
      <c r="A276" t="s">
        <v>575</v>
      </c>
      <c r="B276" t="s">
        <v>67</v>
      </c>
      <c r="C276" t="s">
        <v>576</v>
      </c>
      <c r="D276" t="s">
        <v>27</v>
      </c>
      <c r="E276" t="s">
        <v>207</v>
      </c>
      <c r="F276">
        <v>10</v>
      </c>
      <c r="G276">
        <v>11616</v>
      </c>
      <c r="H276">
        <v>116160</v>
      </c>
      <c r="I276" t="s">
        <v>64</v>
      </c>
      <c r="J276" t="s">
        <v>150</v>
      </c>
      <c r="K276">
        <v>4</v>
      </c>
    </row>
    <row r="277" spans="1:11" x14ac:dyDescent="0.3">
      <c r="A277" t="s">
        <v>577</v>
      </c>
      <c r="B277" t="s">
        <v>31</v>
      </c>
      <c r="C277" t="s">
        <v>243</v>
      </c>
      <c r="D277" t="s">
        <v>42</v>
      </c>
      <c r="E277" t="s">
        <v>60</v>
      </c>
      <c r="F277">
        <v>6</v>
      </c>
      <c r="G277">
        <v>15272</v>
      </c>
      <c r="H277">
        <v>91632</v>
      </c>
      <c r="I277" t="s">
        <v>64</v>
      </c>
      <c r="J277" t="s">
        <v>136</v>
      </c>
      <c r="K277">
        <v>5</v>
      </c>
    </row>
    <row r="278" spans="1:11" x14ac:dyDescent="0.3">
      <c r="A278" t="s">
        <v>578</v>
      </c>
      <c r="B278" t="s">
        <v>158</v>
      </c>
      <c r="C278" t="s">
        <v>172</v>
      </c>
      <c r="D278" t="s">
        <v>42</v>
      </c>
      <c r="E278" t="s">
        <v>95</v>
      </c>
      <c r="F278">
        <v>1</v>
      </c>
      <c r="G278">
        <v>9012</v>
      </c>
      <c r="H278">
        <v>9012</v>
      </c>
      <c r="I278" t="s">
        <v>34</v>
      </c>
      <c r="J278" t="s">
        <v>65</v>
      </c>
      <c r="K278">
        <v>5</v>
      </c>
    </row>
    <row r="279" spans="1:11" x14ac:dyDescent="0.3">
      <c r="A279" t="s">
        <v>579</v>
      </c>
      <c r="B279" t="s">
        <v>416</v>
      </c>
      <c r="C279" t="s">
        <v>324</v>
      </c>
      <c r="D279" t="s">
        <v>27</v>
      </c>
      <c r="E279" t="s">
        <v>28</v>
      </c>
      <c r="F279">
        <v>8</v>
      </c>
      <c r="G279">
        <v>19392</v>
      </c>
      <c r="H279">
        <v>155136</v>
      </c>
      <c r="I279" t="s">
        <v>16</v>
      </c>
      <c r="J279" t="s">
        <v>52</v>
      </c>
      <c r="K279">
        <v>4</v>
      </c>
    </row>
    <row r="280" spans="1:11" x14ac:dyDescent="0.3">
      <c r="A280" t="s">
        <v>580</v>
      </c>
      <c r="B280" t="s">
        <v>566</v>
      </c>
      <c r="C280" t="s">
        <v>264</v>
      </c>
      <c r="D280" t="s">
        <v>56</v>
      </c>
      <c r="E280" t="s">
        <v>78</v>
      </c>
      <c r="F280">
        <v>9</v>
      </c>
      <c r="G280">
        <v>15061</v>
      </c>
      <c r="H280">
        <v>135549</v>
      </c>
      <c r="I280" t="s">
        <v>16</v>
      </c>
      <c r="J280" t="s">
        <v>35</v>
      </c>
      <c r="K280">
        <v>2</v>
      </c>
    </row>
    <row r="281" spans="1:11" x14ac:dyDescent="0.3">
      <c r="A281" t="s">
        <v>581</v>
      </c>
      <c r="B281" t="s">
        <v>188</v>
      </c>
      <c r="C281" t="s">
        <v>582</v>
      </c>
      <c r="D281" t="s">
        <v>14</v>
      </c>
      <c r="E281" t="s">
        <v>15</v>
      </c>
      <c r="F281">
        <v>4</v>
      </c>
      <c r="G281">
        <v>18691</v>
      </c>
      <c r="H281">
        <v>74764</v>
      </c>
      <c r="I281" t="s">
        <v>48</v>
      </c>
      <c r="J281" t="s">
        <v>29</v>
      </c>
      <c r="K281">
        <v>3</v>
      </c>
    </row>
    <row r="282" spans="1:11" x14ac:dyDescent="0.3">
      <c r="A282" t="s">
        <v>583</v>
      </c>
      <c r="B282" t="s">
        <v>470</v>
      </c>
      <c r="C282" t="s">
        <v>584</v>
      </c>
      <c r="D282" t="s">
        <v>27</v>
      </c>
      <c r="E282" t="s">
        <v>28</v>
      </c>
      <c r="F282">
        <v>10</v>
      </c>
      <c r="G282">
        <v>23475</v>
      </c>
      <c r="H282">
        <v>234750</v>
      </c>
      <c r="I282" t="s">
        <v>64</v>
      </c>
      <c r="J282" t="s">
        <v>35</v>
      </c>
      <c r="K282">
        <v>5</v>
      </c>
    </row>
    <row r="283" spans="1:11" x14ac:dyDescent="0.3">
      <c r="A283" t="s">
        <v>585</v>
      </c>
      <c r="B283" t="s">
        <v>382</v>
      </c>
      <c r="C283" t="s">
        <v>286</v>
      </c>
      <c r="D283" t="s">
        <v>56</v>
      </c>
      <c r="E283" t="s">
        <v>178</v>
      </c>
      <c r="F283">
        <v>6</v>
      </c>
      <c r="G283">
        <v>13065</v>
      </c>
      <c r="H283">
        <v>78390</v>
      </c>
      <c r="I283" t="s">
        <v>34</v>
      </c>
      <c r="J283" t="s">
        <v>52</v>
      </c>
      <c r="K283">
        <v>2</v>
      </c>
    </row>
    <row r="284" spans="1:11" x14ac:dyDescent="0.3">
      <c r="A284" t="s">
        <v>586</v>
      </c>
      <c r="B284" t="s">
        <v>416</v>
      </c>
      <c r="C284" t="s">
        <v>227</v>
      </c>
      <c r="D284" t="s">
        <v>21</v>
      </c>
      <c r="E284" t="s">
        <v>149</v>
      </c>
      <c r="F284">
        <v>7</v>
      </c>
      <c r="G284">
        <v>9551</v>
      </c>
      <c r="H284">
        <v>66857</v>
      </c>
      <c r="I284" t="s">
        <v>48</v>
      </c>
      <c r="J284" t="s">
        <v>44</v>
      </c>
      <c r="K284">
        <v>3</v>
      </c>
    </row>
    <row r="285" spans="1:11" x14ac:dyDescent="0.3">
      <c r="A285" t="s">
        <v>587</v>
      </c>
      <c r="B285" t="s">
        <v>114</v>
      </c>
      <c r="C285" t="s">
        <v>51</v>
      </c>
      <c r="D285" t="s">
        <v>21</v>
      </c>
      <c r="E285" t="s">
        <v>33</v>
      </c>
      <c r="F285">
        <v>4</v>
      </c>
      <c r="G285">
        <v>1951</v>
      </c>
      <c r="H285">
        <v>7804</v>
      </c>
      <c r="I285" t="s">
        <v>34</v>
      </c>
      <c r="J285" t="s">
        <v>17</v>
      </c>
      <c r="K285">
        <v>3</v>
      </c>
    </row>
    <row r="286" spans="1:11" x14ac:dyDescent="0.3">
      <c r="A286" t="s">
        <v>588</v>
      </c>
      <c r="B286" t="s">
        <v>155</v>
      </c>
      <c r="C286" t="s">
        <v>282</v>
      </c>
      <c r="D286" t="s">
        <v>14</v>
      </c>
      <c r="E286" t="s">
        <v>140</v>
      </c>
      <c r="F286">
        <v>2</v>
      </c>
      <c r="G286">
        <v>11786</v>
      </c>
      <c r="H286">
        <v>23572</v>
      </c>
      <c r="I286" t="s">
        <v>64</v>
      </c>
      <c r="J286" t="s">
        <v>65</v>
      </c>
      <c r="K286">
        <v>1</v>
      </c>
    </row>
    <row r="287" spans="1:11" x14ac:dyDescent="0.3">
      <c r="A287" t="s">
        <v>589</v>
      </c>
      <c r="B287" t="s">
        <v>83</v>
      </c>
      <c r="C287" t="s">
        <v>101</v>
      </c>
      <c r="D287" t="s">
        <v>14</v>
      </c>
      <c r="E287" t="s">
        <v>15</v>
      </c>
      <c r="F287">
        <v>9</v>
      </c>
      <c r="G287">
        <v>3512</v>
      </c>
      <c r="H287">
        <v>31608</v>
      </c>
      <c r="I287" t="s">
        <v>16</v>
      </c>
      <c r="J287" t="s">
        <v>150</v>
      </c>
      <c r="K287">
        <v>3</v>
      </c>
    </row>
    <row r="288" spans="1:11" x14ac:dyDescent="0.3">
      <c r="A288" t="s">
        <v>590</v>
      </c>
      <c r="B288" t="s">
        <v>93</v>
      </c>
      <c r="C288" t="s">
        <v>172</v>
      </c>
      <c r="D288" t="s">
        <v>56</v>
      </c>
      <c r="E288" t="s">
        <v>78</v>
      </c>
      <c r="F288">
        <v>2</v>
      </c>
      <c r="G288">
        <v>25140</v>
      </c>
      <c r="H288">
        <v>50280</v>
      </c>
      <c r="I288" t="s">
        <v>23</v>
      </c>
      <c r="J288" t="s">
        <v>91</v>
      </c>
      <c r="K288">
        <v>1</v>
      </c>
    </row>
    <row r="289" spans="1:11" x14ac:dyDescent="0.3">
      <c r="A289" t="s">
        <v>591</v>
      </c>
      <c r="B289" t="s">
        <v>191</v>
      </c>
      <c r="C289" t="s">
        <v>592</v>
      </c>
      <c r="D289" t="s">
        <v>27</v>
      </c>
      <c r="E289" t="s">
        <v>207</v>
      </c>
      <c r="F289">
        <v>6</v>
      </c>
      <c r="G289">
        <v>11392</v>
      </c>
      <c r="H289">
        <v>68352</v>
      </c>
      <c r="I289" t="s">
        <v>64</v>
      </c>
      <c r="J289" t="s">
        <v>70</v>
      </c>
      <c r="K289">
        <v>5</v>
      </c>
    </row>
    <row r="290" spans="1:11" x14ac:dyDescent="0.3">
      <c r="A290" t="s">
        <v>593</v>
      </c>
      <c r="B290" t="s">
        <v>552</v>
      </c>
      <c r="C290" t="s">
        <v>493</v>
      </c>
      <c r="D290" t="s">
        <v>42</v>
      </c>
      <c r="E290" t="s">
        <v>95</v>
      </c>
      <c r="F290">
        <v>9</v>
      </c>
      <c r="G290">
        <v>16689</v>
      </c>
      <c r="H290">
        <v>150201</v>
      </c>
      <c r="I290" t="s">
        <v>23</v>
      </c>
      <c r="J290" t="s">
        <v>70</v>
      </c>
      <c r="K290">
        <v>3</v>
      </c>
    </row>
    <row r="291" spans="1:11" x14ac:dyDescent="0.3">
      <c r="A291" t="s">
        <v>594</v>
      </c>
      <c r="B291" t="s">
        <v>142</v>
      </c>
      <c r="C291" t="s">
        <v>194</v>
      </c>
      <c r="D291" t="s">
        <v>56</v>
      </c>
      <c r="E291" t="s">
        <v>57</v>
      </c>
      <c r="F291">
        <v>7</v>
      </c>
      <c r="G291">
        <v>28237</v>
      </c>
      <c r="H291">
        <v>197659</v>
      </c>
      <c r="I291" t="s">
        <v>34</v>
      </c>
      <c r="J291" t="s">
        <v>52</v>
      </c>
      <c r="K291">
        <v>1</v>
      </c>
    </row>
    <row r="292" spans="1:11" x14ac:dyDescent="0.3">
      <c r="A292" t="s">
        <v>595</v>
      </c>
      <c r="B292" t="s">
        <v>356</v>
      </c>
      <c r="C292" t="s">
        <v>334</v>
      </c>
      <c r="D292" t="s">
        <v>56</v>
      </c>
      <c r="E292" t="s">
        <v>133</v>
      </c>
      <c r="F292">
        <v>9</v>
      </c>
      <c r="G292">
        <v>25637</v>
      </c>
      <c r="H292">
        <v>230733</v>
      </c>
      <c r="I292" t="s">
        <v>48</v>
      </c>
      <c r="J292" t="s">
        <v>17</v>
      </c>
      <c r="K292">
        <v>1</v>
      </c>
    </row>
    <row r="293" spans="1:11" x14ac:dyDescent="0.3">
      <c r="A293" t="s">
        <v>596</v>
      </c>
      <c r="B293" t="s">
        <v>389</v>
      </c>
      <c r="C293" t="s">
        <v>245</v>
      </c>
      <c r="D293" t="s">
        <v>42</v>
      </c>
      <c r="E293" t="s">
        <v>95</v>
      </c>
      <c r="F293">
        <v>2</v>
      </c>
      <c r="G293">
        <v>22089</v>
      </c>
      <c r="H293">
        <v>44178</v>
      </c>
      <c r="I293" t="s">
        <v>48</v>
      </c>
      <c r="J293" t="s">
        <v>150</v>
      </c>
      <c r="K293">
        <v>4</v>
      </c>
    </row>
    <row r="294" spans="1:11" x14ac:dyDescent="0.3">
      <c r="A294" t="s">
        <v>597</v>
      </c>
      <c r="B294" t="s">
        <v>37</v>
      </c>
      <c r="C294" t="s">
        <v>558</v>
      </c>
      <c r="D294" t="s">
        <v>21</v>
      </c>
      <c r="E294" t="s">
        <v>33</v>
      </c>
      <c r="F294">
        <v>9</v>
      </c>
      <c r="G294">
        <v>1976</v>
      </c>
      <c r="H294">
        <v>17784</v>
      </c>
      <c r="I294" t="s">
        <v>16</v>
      </c>
      <c r="J294" t="s">
        <v>35</v>
      </c>
      <c r="K294">
        <v>4</v>
      </c>
    </row>
    <row r="295" spans="1:11" x14ac:dyDescent="0.3">
      <c r="A295" t="s">
        <v>598</v>
      </c>
      <c r="B295" t="s">
        <v>296</v>
      </c>
      <c r="C295" t="s">
        <v>352</v>
      </c>
      <c r="D295" t="s">
        <v>42</v>
      </c>
      <c r="E295" t="s">
        <v>60</v>
      </c>
      <c r="F295">
        <v>10</v>
      </c>
      <c r="G295">
        <v>11664</v>
      </c>
      <c r="H295">
        <v>116640</v>
      </c>
      <c r="I295" t="s">
        <v>16</v>
      </c>
      <c r="J295" t="s">
        <v>91</v>
      </c>
      <c r="K295">
        <v>5</v>
      </c>
    </row>
    <row r="296" spans="1:11" x14ac:dyDescent="0.3">
      <c r="A296" t="s">
        <v>599</v>
      </c>
      <c r="B296" t="s">
        <v>31</v>
      </c>
      <c r="C296" t="s">
        <v>531</v>
      </c>
      <c r="D296" t="s">
        <v>14</v>
      </c>
      <c r="E296" t="s">
        <v>69</v>
      </c>
      <c r="F296">
        <v>5</v>
      </c>
      <c r="G296">
        <v>26807</v>
      </c>
      <c r="H296">
        <v>134035</v>
      </c>
      <c r="I296" t="s">
        <v>48</v>
      </c>
      <c r="J296" t="s">
        <v>65</v>
      </c>
      <c r="K296">
        <v>3</v>
      </c>
    </row>
    <row r="297" spans="1:11" x14ac:dyDescent="0.3">
      <c r="A297" t="s">
        <v>600</v>
      </c>
      <c r="B297" t="s">
        <v>255</v>
      </c>
      <c r="C297" t="s">
        <v>334</v>
      </c>
      <c r="D297" t="s">
        <v>14</v>
      </c>
      <c r="E297" t="s">
        <v>140</v>
      </c>
      <c r="F297">
        <v>5</v>
      </c>
      <c r="G297">
        <v>8048</v>
      </c>
      <c r="H297">
        <v>40240</v>
      </c>
      <c r="I297" t="s">
        <v>23</v>
      </c>
      <c r="J297" t="s">
        <v>52</v>
      </c>
      <c r="K297">
        <v>4</v>
      </c>
    </row>
    <row r="298" spans="1:11" x14ac:dyDescent="0.3">
      <c r="A298" t="s">
        <v>601</v>
      </c>
      <c r="B298" t="s">
        <v>67</v>
      </c>
      <c r="C298" t="s">
        <v>301</v>
      </c>
      <c r="D298" t="s">
        <v>42</v>
      </c>
      <c r="E298" t="s">
        <v>43</v>
      </c>
      <c r="F298">
        <v>2</v>
      </c>
      <c r="G298">
        <v>18842</v>
      </c>
      <c r="H298">
        <v>37684</v>
      </c>
      <c r="I298" t="s">
        <v>64</v>
      </c>
      <c r="J298" t="s">
        <v>91</v>
      </c>
      <c r="K298">
        <v>5</v>
      </c>
    </row>
    <row r="299" spans="1:11" x14ac:dyDescent="0.3">
      <c r="A299" t="s">
        <v>602</v>
      </c>
      <c r="B299" t="s">
        <v>273</v>
      </c>
      <c r="C299" t="s">
        <v>250</v>
      </c>
      <c r="D299" t="s">
        <v>27</v>
      </c>
      <c r="E299" t="s">
        <v>102</v>
      </c>
      <c r="F299">
        <v>6</v>
      </c>
      <c r="G299">
        <v>9390</v>
      </c>
      <c r="H299">
        <v>56340</v>
      </c>
      <c r="I299" t="s">
        <v>34</v>
      </c>
      <c r="J299" t="s">
        <v>65</v>
      </c>
      <c r="K299">
        <v>5</v>
      </c>
    </row>
    <row r="300" spans="1:11" x14ac:dyDescent="0.3">
      <c r="A300" t="s">
        <v>603</v>
      </c>
      <c r="B300" t="s">
        <v>604</v>
      </c>
      <c r="C300" t="s">
        <v>313</v>
      </c>
      <c r="D300" t="s">
        <v>27</v>
      </c>
      <c r="E300" t="s">
        <v>87</v>
      </c>
      <c r="F300">
        <v>2</v>
      </c>
      <c r="G300">
        <v>23946</v>
      </c>
      <c r="H300">
        <v>47892</v>
      </c>
      <c r="I300" t="s">
        <v>64</v>
      </c>
      <c r="J300" t="s">
        <v>35</v>
      </c>
      <c r="K300">
        <v>4</v>
      </c>
    </row>
    <row r="301" spans="1:11" x14ac:dyDescent="0.3">
      <c r="A301" t="s">
        <v>605</v>
      </c>
      <c r="B301" t="s">
        <v>606</v>
      </c>
      <c r="C301" t="s">
        <v>324</v>
      </c>
      <c r="D301" t="s">
        <v>56</v>
      </c>
      <c r="E301" t="s">
        <v>57</v>
      </c>
      <c r="F301">
        <v>3</v>
      </c>
      <c r="G301">
        <v>20163</v>
      </c>
      <c r="H301">
        <v>60489</v>
      </c>
      <c r="I301" t="s">
        <v>64</v>
      </c>
      <c r="J301" t="s">
        <v>17</v>
      </c>
      <c r="K301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417BB-3AE3-414C-8BE4-B17F36F5A769}">
  <dimension ref="A1:L301"/>
  <sheetViews>
    <sheetView workbookViewId="0">
      <pane ySplit="1" topLeftCell="A271" activePane="bottomLeft" state="frozen"/>
      <selection pane="bottomLeft" activeCell="F301" sqref="F301"/>
    </sheetView>
  </sheetViews>
  <sheetFormatPr defaultRowHeight="14.4" x14ac:dyDescent="0.3"/>
  <cols>
    <col min="1" max="1" width="12.44140625" customWidth="1"/>
    <col min="2" max="2" width="17.21875" customWidth="1"/>
    <col min="3" max="3" width="16.109375" customWidth="1"/>
    <col min="4" max="4" width="14.33203125" customWidth="1"/>
    <col min="5" max="5" width="13.33203125" customWidth="1"/>
    <col min="6" max="6" width="12.77734375" bestFit="1" customWidth="1"/>
    <col min="7" max="7" width="13.77734375" customWidth="1"/>
    <col min="8" max="8" width="17.44140625" customWidth="1"/>
    <col min="9" max="9" width="22.88671875" customWidth="1"/>
    <col min="10" max="10" width="10.6640625" bestFit="1" customWidth="1"/>
    <col min="11" max="11" width="12.6640625" customWidth="1"/>
    <col min="12" max="12" width="17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607</v>
      </c>
    </row>
    <row r="2" spans="1:12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1</v>
      </c>
      <c r="G2" s="2">
        <v>26793</v>
      </c>
      <c r="H2" s="2">
        <v>26793</v>
      </c>
      <c r="I2" s="2" t="s">
        <v>16</v>
      </c>
      <c r="J2" s="2" t="s">
        <v>17</v>
      </c>
      <c r="K2" s="2">
        <v>4</v>
      </c>
      <c r="L2" s="2">
        <f>COUNTIF(TableTransections[[#All],[Customer ID]],TableTransections[[#This Row],[Customer ID]])</f>
        <v>1</v>
      </c>
    </row>
    <row r="3" spans="1:12" x14ac:dyDescent="0.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>
        <v>4</v>
      </c>
      <c r="G3" s="2">
        <v>3055</v>
      </c>
      <c r="H3" s="2">
        <v>12220</v>
      </c>
      <c r="I3" s="2" t="s">
        <v>23</v>
      </c>
      <c r="J3" s="2" t="s">
        <v>17</v>
      </c>
      <c r="K3" s="2">
        <v>4</v>
      </c>
      <c r="L3" s="2">
        <f>COUNTIF(TableTransections[[#All],[Customer ID]],TableTransections[[#This Row],[Customer ID]])</f>
        <v>7</v>
      </c>
    </row>
    <row r="4" spans="1:12" x14ac:dyDescent="0.3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>
        <v>2</v>
      </c>
      <c r="G4" s="2">
        <v>18282</v>
      </c>
      <c r="H4" s="2">
        <v>36564</v>
      </c>
      <c r="I4" s="2" t="s">
        <v>16</v>
      </c>
      <c r="J4" s="2" t="s">
        <v>29</v>
      </c>
      <c r="K4" s="2">
        <v>2</v>
      </c>
      <c r="L4" s="2">
        <f>COUNTIF(TableTransections[[#All],[Customer ID]],TableTransections[[#This Row],[Customer ID]])</f>
        <v>3</v>
      </c>
    </row>
    <row r="5" spans="1:12" x14ac:dyDescent="0.3">
      <c r="A5" s="2" t="s">
        <v>30</v>
      </c>
      <c r="B5" s="2" t="s">
        <v>31</v>
      </c>
      <c r="C5" s="2" t="s">
        <v>32</v>
      </c>
      <c r="D5" s="2" t="s">
        <v>21</v>
      </c>
      <c r="E5" s="2" t="s">
        <v>33</v>
      </c>
      <c r="F5" s="2">
        <v>8</v>
      </c>
      <c r="G5" s="2">
        <v>22824</v>
      </c>
      <c r="H5" s="2">
        <v>182592</v>
      </c>
      <c r="I5" s="2" t="s">
        <v>34</v>
      </c>
      <c r="J5" s="2" t="s">
        <v>35</v>
      </c>
      <c r="K5" s="2">
        <v>2</v>
      </c>
      <c r="L5" s="2">
        <f>COUNTIF(TableTransections[[#All],[Customer ID]],TableTransections[[#This Row],[Customer ID]])</f>
        <v>5</v>
      </c>
    </row>
    <row r="6" spans="1:12" x14ac:dyDescent="0.3">
      <c r="A6" s="2" t="s">
        <v>36</v>
      </c>
      <c r="B6" s="2" t="s">
        <v>37</v>
      </c>
      <c r="C6" s="2" t="s">
        <v>38</v>
      </c>
      <c r="D6" s="2" t="s">
        <v>21</v>
      </c>
      <c r="E6" s="2" t="s">
        <v>22</v>
      </c>
      <c r="F6" s="2">
        <v>6</v>
      </c>
      <c r="G6" s="2">
        <v>17852</v>
      </c>
      <c r="H6" s="2">
        <v>107112</v>
      </c>
      <c r="I6" s="2" t="s">
        <v>16</v>
      </c>
      <c r="J6" s="2" t="s">
        <v>29</v>
      </c>
      <c r="K6" s="2">
        <v>3</v>
      </c>
      <c r="L6" s="2">
        <f>COUNTIF(TableTransections[[#All],[Customer ID]],TableTransections[[#This Row],[Customer ID]])</f>
        <v>4</v>
      </c>
    </row>
    <row r="7" spans="1:12" x14ac:dyDescent="0.3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>
        <v>9</v>
      </c>
      <c r="G7" s="2">
        <v>20205</v>
      </c>
      <c r="H7" s="2">
        <v>181845</v>
      </c>
      <c r="I7" s="2" t="s">
        <v>23</v>
      </c>
      <c r="J7" s="2" t="s">
        <v>44</v>
      </c>
      <c r="K7" s="2">
        <v>4</v>
      </c>
      <c r="L7" s="2">
        <f>COUNTIF(TableTransections[[#All],[Customer ID]],TableTransections[[#This Row],[Customer ID]])</f>
        <v>3</v>
      </c>
    </row>
    <row r="8" spans="1:12" x14ac:dyDescent="0.3">
      <c r="A8" s="2" t="s">
        <v>45</v>
      </c>
      <c r="B8" s="2" t="s">
        <v>46</v>
      </c>
      <c r="C8" s="2" t="s">
        <v>47</v>
      </c>
      <c r="D8" s="2" t="s">
        <v>21</v>
      </c>
      <c r="E8" s="2" t="s">
        <v>22</v>
      </c>
      <c r="F8" s="2">
        <v>7</v>
      </c>
      <c r="G8" s="2">
        <v>16632</v>
      </c>
      <c r="H8" s="2">
        <v>116424</v>
      </c>
      <c r="I8" s="2" t="s">
        <v>48</v>
      </c>
      <c r="J8" s="2" t="s">
        <v>29</v>
      </c>
      <c r="K8" s="2">
        <v>2</v>
      </c>
      <c r="L8" s="2">
        <f>COUNTIF(TableTransections[[#All],[Customer ID]],TableTransections[[#This Row],[Customer ID]])</f>
        <v>2</v>
      </c>
    </row>
    <row r="9" spans="1:12" x14ac:dyDescent="0.3">
      <c r="A9" s="2" t="s">
        <v>49</v>
      </c>
      <c r="B9" s="2" t="s">
        <v>50</v>
      </c>
      <c r="C9" s="2" t="s">
        <v>51</v>
      </c>
      <c r="D9" s="2" t="s">
        <v>42</v>
      </c>
      <c r="E9" s="2" t="s">
        <v>43</v>
      </c>
      <c r="F9" s="2">
        <v>2</v>
      </c>
      <c r="G9" s="2">
        <v>28881</v>
      </c>
      <c r="H9" s="2">
        <v>57762</v>
      </c>
      <c r="I9" s="2" t="s">
        <v>16</v>
      </c>
      <c r="J9" s="2" t="s">
        <v>52</v>
      </c>
      <c r="K9" s="2">
        <v>3</v>
      </c>
      <c r="L9" s="2">
        <f>COUNTIF(TableTransections[[#All],[Customer ID]],TableTransections[[#This Row],[Customer ID]])</f>
        <v>4</v>
      </c>
    </row>
    <row r="10" spans="1:12" x14ac:dyDescent="0.3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>
        <v>4</v>
      </c>
      <c r="G10" s="2">
        <v>19219</v>
      </c>
      <c r="H10" s="2">
        <v>76876</v>
      </c>
      <c r="I10" s="2" t="s">
        <v>34</v>
      </c>
      <c r="J10" s="2" t="s">
        <v>52</v>
      </c>
      <c r="K10" s="2">
        <v>4</v>
      </c>
      <c r="L10" s="2">
        <f>COUNTIF(TableTransections[[#All],[Customer ID]],TableTransections[[#This Row],[Customer ID]])</f>
        <v>3</v>
      </c>
    </row>
    <row r="11" spans="1:12" x14ac:dyDescent="0.3">
      <c r="A11" s="2" t="s">
        <v>58</v>
      </c>
      <c r="B11" s="2" t="s">
        <v>59</v>
      </c>
      <c r="C11" s="2" t="s">
        <v>13</v>
      </c>
      <c r="D11" s="2" t="s">
        <v>42</v>
      </c>
      <c r="E11" s="2" t="s">
        <v>60</v>
      </c>
      <c r="F11" s="2">
        <v>8</v>
      </c>
      <c r="G11" s="2">
        <v>279</v>
      </c>
      <c r="H11" s="2">
        <v>2232</v>
      </c>
      <c r="I11" s="2" t="s">
        <v>34</v>
      </c>
      <c r="J11" s="2" t="s">
        <v>35</v>
      </c>
      <c r="K11" s="2">
        <v>3</v>
      </c>
      <c r="L11" s="2">
        <f>COUNTIF(TableTransections[[#All],[Customer ID]],TableTransections[[#This Row],[Customer ID]])</f>
        <v>3</v>
      </c>
    </row>
    <row r="12" spans="1:12" x14ac:dyDescent="0.3">
      <c r="A12" s="2" t="s">
        <v>61</v>
      </c>
      <c r="B12" s="2" t="s">
        <v>62</v>
      </c>
      <c r="C12" s="2" t="s">
        <v>63</v>
      </c>
      <c r="D12" s="2" t="s">
        <v>42</v>
      </c>
      <c r="E12" s="2" t="s">
        <v>60</v>
      </c>
      <c r="F12" s="2">
        <v>1</v>
      </c>
      <c r="G12" s="2">
        <v>3968</v>
      </c>
      <c r="H12" s="2">
        <v>3968</v>
      </c>
      <c r="I12" s="2" t="s">
        <v>64</v>
      </c>
      <c r="J12" s="2" t="s">
        <v>65</v>
      </c>
      <c r="K12" s="2">
        <v>4</v>
      </c>
      <c r="L12" s="2">
        <f>COUNTIF(TableTransections[[#All],[Customer ID]],TableTransections[[#This Row],[Customer ID]])</f>
        <v>1</v>
      </c>
    </row>
    <row r="13" spans="1:12" x14ac:dyDescent="0.3">
      <c r="A13" s="2" t="s">
        <v>66</v>
      </c>
      <c r="B13" s="2" t="s">
        <v>67</v>
      </c>
      <c r="C13" s="2" t="s">
        <v>68</v>
      </c>
      <c r="D13" s="2" t="s">
        <v>14</v>
      </c>
      <c r="E13" s="2" t="s">
        <v>69</v>
      </c>
      <c r="F13" s="2">
        <v>10</v>
      </c>
      <c r="G13" s="2">
        <v>19501</v>
      </c>
      <c r="H13" s="2">
        <v>195010</v>
      </c>
      <c r="I13" s="2" t="s">
        <v>48</v>
      </c>
      <c r="J13" s="2" t="s">
        <v>70</v>
      </c>
      <c r="K13" s="2">
        <v>4</v>
      </c>
      <c r="L13" s="2">
        <f>COUNTIF(TableTransections[[#All],[Customer ID]],TableTransections[[#This Row],[Customer ID]])</f>
        <v>6</v>
      </c>
    </row>
    <row r="14" spans="1:12" x14ac:dyDescent="0.3">
      <c r="A14" s="2" t="s">
        <v>71</v>
      </c>
      <c r="B14" s="2" t="s">
        <v>72</v>
      </c>
      <c r="C14" s="2" t="s">
        <v>73</v>
      </c>
      <c r="D14" s="2" t="s">
        <v>21</v>
      </c>
      <c r="E14" s="2" t="s">
        <v>74</v>
      </c>
      <c r="F14" s="2">
        <v>3</v>
      </c>
      <c r="G14" s="2">
        <v>6631</v>
      </c>
      <c r="H14" s="2">
        <v>19893</v>
      </c>
      <c r="I14" s="2" t="s">
        <v>64</v>
      </c>
      <c r="J14" s="2" t="s">
        <v>44</v>
      </c>
      <c r="K14" s="2">
        <v>4</v>
      </c>
      <c r="L14" s="2">
        <f>COUNTIF(TableTransections[[#All],[Customer ID]],TableTransections[[#This Row],[Customer ID]])</f>
        <v>5</v>
      </c>
    </row>
    <row r="15" spans="1:12" x14ac:dyDescent="0.3">
      <c r="A15" s="2" t="s">
        <v>75</v>
      </c>
      <c r="B15" s="2" t="s">
        <v>76</v>
      </c>
      <c r="C15" s="2" t="s">
        <v>77</v>
      </c>
      <c r="D15" s="2" t="s">
        <v>56</v>
      </c>
      <c r="E15" s="2" t="s">
        <v>78</v>
      </c>
      <c r="F15" s="2">
        <v>7</v>
      </c>
      <c r="G15" s="2">
        <v>7273</v>
      </c>
      <c r="H15" s="2">
        <v>50911</v>
      </c>
      <c r="I15" s="2" t="s">
        <v>23</v>
      </c>
      <c r="J15" s="2" t="s">
        <v>35</v>
      </c>
      <c r="K15" s="2">
        <v>1</v>
      </c>
      <c r="L15" s="2">
        <f>COUNTIF(TableTransections[[#All],[Customer ID]],TableTransections[[#This Row],[Customer ID]])</f>
        <v>3</v>
      </c>
    </row>
    <row r="16" spans="1:12" x14ac:dyDescent="0.3">
      <c r="A16" s="2" t="s">
        <v>79</v>
      </c>
      <c r="B16" s="2" t="s">
        <v>80</v>
      </c>
      <c r="C16" s="2" t="s">
        <v>81</v>
      </c>
      <c r="D16" s="2" t="s">
        <v>56</v>
      </c>
      <c r="E16" s="2" t="s">
        <v>57</v>
      </c>
      <c r="F16" s="2">
        <v>5</v>
      </c>
      <c r="G16" s="2">
        <v>17200</v>
      </c>
      <c r="H16" s="2">
        <v>86000</v>
      </c>
      <c r="I16" s="2" t="s">
        <v>48</v>
      </c>
      <c r="J16" s="2" t="s">
        <v>52</v>
      </c>
      <c r="K16" s="2">
        <v>2</v>
      </c>
      <c r="L16" s="2">
        <f>COUNTIF(TableTransections[[#All],[Customer ID]],TableTransections[[#This Row],[Customer ID]])</f>
        <v>3</v>
      </c>
    </row>
    <row r="17" spans="1:12" x14ac:dyDescent="0.3">
      <c r="A17" s="2" t="s">
        <v>82</v>
      </c>
      <c r="B17" s="2" t="s">
        <v>83</v>
      </c>
      <c r="C17" s="2" t="s">
        <v>84</v>
      </c>
      <c r="D17" s="2" t="s">
        <v>42</v>
      </c>
      <c r="E17" s="2" t="s">
        <v>60</v>
      </c>
      <c r="F17" s="2">
        <v>3</v>
      </c>
      <c r="G17" s="2">
        <v>13201</v>
      </c>
      <c r="H17" s="2">
        <v>39603</v>
      </c>
      <c r="I17" s="2" t="s">
        <v>48</v>
      </c>
      <c r="J17" s="2" t="s">
        <v>44</v>
      </c>
      <c r="K17" s="2">
        <v>5</v>
      </c>
      <c r="L17" s="2">
        <f>COUNTIF(TableTransections[[#All],[Customer ID]],TableTransections[[#This Row],[Customer ID]])</f>
        <v>5</v>
      </c>
    </row>
    <row r="18" spans="1:12" x14ac:dyDescent="0.3">
      <c r="A18" s="2" t="s">
        <v>85</v>
      </c>
      <c r="B18" s="2" t="s">
        <v>25</v>
      </c>
      <c r="C18" s="2" t="s">
        <v>86</v>
      </c>
      <c r="D18" s="2" t="s">
        <v>27</v>
      </c>
      <c r="E18" s="2" t="s">
        <v>87</v>
      </c>
      <c r="F18" s="2">
        <v>5</v>
      </c>
      <c r="G18" s="2">
        <v>26527</v>
      </c>
      <c r="H18" s="2">
        <v>132635</v>
      </c>
      <c r="I18" s="2" t="s">
        <v>48</v>
      </c>
      <c r="J18" s="2" t="s">
        <v>65</v>
      </c>
      <c r="K18" s="2">
        <v>2</v>
      </c>
      <c r="L18" s="2">
        <f>COUNTIF(TableTransections[[#All],[Customer ID]],TableTransections[[#This Row],[Customer ID]])</f>
        <v>3</v>
      </c>
    </row>
    <row r="19" spans="1:12" x14ac:dyDescent="0.3">
      <c r="A19" s="2" t="s">
        <v>88</v>
      </c>
      <c r="B19" s="2" t="s">
        <v>89</v>
      </c>
      <c r="C19" s="2" t="s">
        <v>90</v>
      </c>
      <c r="D19" s="2" t="s">
        <v>42</v>
      </c>
      <c r="E19" s="2" t="s">
        <v>43</v>
      </c>
      <c r="F19" s="2">
        <v>8</v>
      </c>
      <c r="G19" s="2">
        <v>23622</v>
      </c>
      <c r="H19" s="2">
        <v>188976</v>
      </c>
      <c r="I19" s="2" t="s">
        <v>64</v>
      </c>
      <c r="J19" s="2" t="s">
        <v>91</v>
      </c>
      <c r="K19" s="2">
        <v>4</v>
      </c>
      <c r="L19" s="2">
        <f>COUNTIF(TableTransections[[#All],[Customer ID]],TableTransections[[#This Row],[Customer ID]])</f>
        <v>2</v>
      </c>
    </row>
    <row r="20" spans="1:12" x14ac:dyDescent="0.3">
      <c r="A20" s="2" t="s">
        <v>92</v>
      </c>
      <c r="B20" s="2" t="s">
        <v>93</v>
      </c>
      <c r="C20" s="2" t="s">
        <v>94</v>
      </c>
      <c r="D20" s="2" t="s">
        <v>42</v>
      </c>
      <c r="E20" s="2" t="s">
        <v>95</v>
      </c>
      <c r="F20" s="2">
        <v>8</v>
      </c>
      <c r="G20" s="2">
        <v>8755</v>
      </c>
      <c r="H20" s="2">
        <v>70040</v>
      </c>
      <c r="I20" s="2" t="s">
        <v>23</v>
      </c>
      <c r="J20" s="2" t="s">
        <v>29</v>
      </c>
      <c r="K20" s="2">
        <v>4</v>
      </c>
      <c r="L20" s="2">
        <f>COUNTIF(TableTransections[[#All],[Customer ID]],TableTransections[[#This Row],[Customer ID]])</f>
        <v>6</v>
      </c>
    </row>
    <row r="21" spans="1:12" x14ac:dyDescent="0.3">
      <c r="A21" s="2" t="s">
        <v>96</v>
      </c>
      <c r="B21" s="2" t="s">
        <v>97</v>
      </c>
      <c r="C21" s="2" t="s">
        <v>98</v>
      </c>
      <c r="D21" s="2" t="s">
        <v>27</v>
      </c>
      <c r="E21" s="2" t="s">
        <v>28</v>
      </c>
      <c r="F21" s="2">
        <v>6</v>
      </c>
      <c r="G21" s="2">
        <v>4210</v>
      </c>
      <c r="H21" s="2">
        <v>25260</v>
      </c>
      <c r="I21" s="2" t="s">
        <v>23</v>
      </c>
      <c r="J21" s="2" t="s">
        <v>70</v>
      </c>
      <c r="K21" s="2">
        <v>1</v>
      </c>
      <c r="L21" s="2">
        <f>COUNTIF(TableTransections[[#All],[Customer ID]],TableTransections[[#This Row],[Customer ID]])</f>
        <v>5</v>
      </c>
    </row>
    <row r="22" spans="1:12" x14ac:dyDescent="0.3">
      <c r="A22" s="2" t="s">
        <v>99</v>
      </c>
      <c r="B22" s="2" t="s">
        <v>100</v>
      </c>
      <c r="C22" s="2" t="s">
        <v>101</v>
      </c>
      <c r="D22" s="2" t="s">
        <v>27</v>
      </c>
      <c r="E22" s="2" t="s">
        <v>102</v>
      </c>
      <c r="F22" s="2">
        <v>3</v>
      </c>
      <c r="G22" s="2">
        <v>7168</v>
      </c>
      <c r="H22" s="2">
        <v>21504</v>
      </c>
      <c r="I22" s="2" t="s">
        <v>34</v>
      </c>
      <c r="J22" s="2" t="s">
        <v>35</v>
      </c>
      <c r="K22" s="2">
        <v>5</v>
      </c>
      <c r="L22" s="2">
        <f>COUNTIF(TableTransections[[#All],[Customer ID]],TableTransections[[#This Row],[Customer ID]])</f>
        <v>5</v>
      </c>
    </row>
    <row r="23" spans="1:12" x14ac:dyDescent="0.3">
      <c r="A23" s="2" t="s">
        <v>103</v>
      </c>
      <c r="B23" s="2" t="s">
        <v>104</v>
      </c>
      <c r="C23" s="2" t="s">
        <v>105</v>
      </c>
      <c r="D23" s="2" t="s">
        <v>21</v>
      </c>
      <c r="E23" s="2" t="s">
        <v>106</v>
      </c>
      <c r="F23" s="2">
        <v>10</v>
      </c>
      <c r="G23" s="2">
        <v>27886</v>
      </c>
      <c r="H23" s="2">
        <v>278860</v>
      </c>
      <c r="I23" s="2" t="s">
        <v>34</v>
      </c>
      <c r="J23" s="2" t="s">
        <v>91</v>
      </c>
      <c r="K23" s="2">
        <v>1</v>
      </c>
      <c r="L23" s="2">
        <f>COUNTIF(TableTransections[[#All],[Customer ID]],TableTransections[[#This Row],[Customer ID]])</f>
        <v>3</v>
      </c>
    </row>
    <row r="24" spans="1:12" x14ac:dyDescent="0.3">
      <c r="A24" s="2" t="s">
        <v>107</v>
      </c>
      <c r="B24" s="2" t="s">
        <v>31</v>
      </c>
      <c r="C24" s="2" t="s">
        <v>108</v>
      </c>
      <c r="D24" s="2" t="s">
        <v>21</v>
      </c>
      <c r="E24" s="2" t="s">
        <v>106</v>
      </c>
      <c r="F24" s="2">
        <v>1</v>
      </c>
      <c r="G24" s="2">
        <v>3599</v>
      </c>
      <c r="H24" s="2">
        <v>3599</v>
      </c>
      <c r="I24" s="2" t="s">
        <v>34</v>
      </c>
      <c r="J24" s="2" t="s">
        <v>70</v>
      </c>
      <c r="K24" s="2">
        <v>1</v>
      </c>
      <c r="L24" s="2">
        <f>COUNTIF(TableTransections[[#All],[Customer ID]],TableTransections[[#This Row],[Customer ID]])</f>
        <v>5</v>
      </c>
    </row>
    <row r="25" spans="1:12" x14ac:dyDescent="0.3">
      <c r="A25" s="2" t="s">
        <v>109</v>
      </c>
      <c r="B25" s="2" t="s">
        <v>110</v>
      </c>
      <c r="C25" s="2" t="s">
        <v>111</v>
      </c>
      <c r="D25" s="2" t="s">
        <v>42</v>
      </c>
      <c r="E25" s="2" t="s">
        <v>95</v>
      </c>
      <c r="F25" s="2">
        <v>9</v>
      </c>
      <c r="G25" s="2">
        <v>8459</v>
      </c>
      <c r="H25" s="2">
        <v>84590</v>
      </c>
      <c r="I25" s="2" t="s">
        <v>16</v>
      </c>
      <c r="J25" s="2" t="s">
        <v>44</v>
      </c>
      <c r="K25" s="2">
        <v>1</v>
      </c>
      <c r="L25" s="2">
        <f>COUNTIF(TableTransections[[#All],[Customer ID]],TableTransections[[#This Row],[Customer ID]])</f>
        <v>2</v>
      </c>
    </row>
    <row r="26" spans="1:12" x14ac:dyDescent="0.3">
      <c r="A26" s="2" t="s">
        <v>112</v>
      </c>
      <c r="B26" s="2" t="s">
        <v>19</v>
      </c>
      <c r="C26" s="2" t="s">
        <v>94</v>
      </c>
      <c r="D26" s="2" t="s">
        <v>42</v>
      </c>
      <c r="E26" s="2" t="s">
        <v>60</v>
      </c>
      <c r="F26" s="2">
        <v>7</v>
      </c>
      <c r="G26" s="2">
        <v>10375</v>
      </c>
      <c r="H26" s="2">
        <v>72625</v>
      </c>
      <c r="I26" s="2" t="s">
        <v>23</v>
      </c>
      <c r="J26" s="2" t="s">
        <v>91</v>
      </c>
      <c r="K26" s="2">
        <v>5</v>
      </c>
      <c r="L26" s="2">
        <f>COUNTIF(TableTransections[[#All],[Customer ID]],TableTransections[[#This Row],[Customer ID]])</f>
        <v>7</v>
      </c>
    </row>
    <row r="27" spans="1:12" x14ac:dyDescent="0.3">
      <c r="A27" s="2" t="s">
        <v>113</v>
      </c>
      <c r="B27" s="2" t="s">
        <v>114</v>
      </c>
      <c r="C27" s="2" t="s">
        <v>115</v>
      </c>
      <c r="D27" s="2" t="s">
        <v>42</v>
      </c>
      <c r="E27" s="2" t="s">
        <v>43</v>
      </c>
      <c r="F27" s="2">
        <v>7</v>
      </c>
      <c r="G27" s="2">
        <v>21263</v>
      </c>
      <c r="H27" s="2">
        <v>148841</v>
      </c>
      <c r="I27" s="2" t="s">
        <v>23</v>
      </c>
      <c r="J27" s="2" t="s">
        <v>52</v>
      </c>
      <c r="K27" s="2">
        <v>3</v>
      </c>
      <c r="L27" s="2">
        <f>COUNTIF(TableTransections[[#All],[Customer ID]],TableTransections[[#This Row],[Customer ID]])</f>
        <v>6</v>
      </c>
    </row>
    <row r="28" spans="1:12" x14ac:dyDescent="0.3">
      <c r="A28" s="2" t="s">
        <v>116</v>
      </c>
      <c r="B28" s="2" t="s">
        <v>117</v>
      </c>
      <c r="C28" s="2" t="s">
        <v>118</v>
      </c>
      <c r="D28" s="2" t="s">
        <v>27</v>
      </c>
      <c r="E28" s="2" t="s">
        <v>28</v>
      </c>
      <c r="F28" s="2">
        <v>5</v>
      </c>
      <c r="G28" s="2">
        <v>6733</v>
      </c>
      <c r="H28" s="2">
        <v>33665</v>
      </c>
      <c r="I28" s="2" t="s">
        <v>34</v>
      </c>
      <c r="J28" s="2" t="s">
        <v>17</v>
      </c>
      <c r="K28" s="2">
        <v>4</v>
      </c>
      <c r="L28" s="2">
        <f>COUNTIF(TableTransections[[#All],[Customer ID]],TableTransections[[#This Row],[Customer ID]])</f>
        <v>4</v>
      </c>
    </row>
    <row r="29" spans="1:12" x14ac:dyDescent="0.3">
      <c r="A29" s="2" t="s">
        <v>119</v>
      </c>
      <c r="B29" s="2" t="s">
        <v>120</v>
      </c>
      <c r="C29" s="2" t="s">
        <v>86</v>
      </c>
      <c r="D29" s="2" t="s">
        <v>27</v>
      </c>
      <c r="E29" s="2" t="s">
        <v>102</v>
      </c>
      <c r="F29" s="2">
        <v>7</v>
      </c>
      <c r="G29" s="2">
        <v>13093</v>
      </c>
      <c r="H29" s="2">
        <v>91651</v>
      </c>
      <c r="I29" s="2" t="s">
        <v>34</v>
      </c>
      <c r="J29" s="2" t="s">
        <v>65</v>
      </c>
      <c r="K29" s="2">
        <v>5</v>
      </c>
      <c r="L29" s="2">
        <f>COUNTIF(TableTransections[[#All],[Customer ID]],TableTransections[[#This Row],[Customer ID]])</f>
        <v>2</v>
      </c>
    </row>
    <row r="30" spans="1:12" x14ac:dyDescent="0.3">
      <c r="A30" s="2" t="s">
        <v>121</v>
      </c>
      <c r="B30" s="2" t="s">
        <v>122</v>
      </c>
      <c r="C30" s="2" t="s">
        <v>123</v>
      </c>
      <c r="D30" s="2" t="s">
        <v>21</v>
      </c>
      <c r="E30" s="2" t="s">
        <v>106</v>
      </c>
      <c r="F30" s="2">
        <v>7</v>
      </c>
      <c r="G30" s="2">
        <v>8484</v>
      </c>
      <c r="H30" s="2">
        <v>59388</v>
      </c>
      <c r="I30" s="2" t="s">
        <v>48</v>
      </c>
      <c r="J30" s="2" t="s">
        <v>35</v>
      </c>
      <c r="K30" s="2">
        <v>1</v>
      </c>
      <c r="L30" s="2">
        <f>COUNTIF(TableTransections[[#All],[Customer ID]],TableTransections[[#This Row],[Customer ID]])</f>
        <v>4</v>
      </c>
    </row>
    <row r="31" spans="1:12" x14ac:dyDescent="0.3">
      <c r="A31" s="2" t="s">
        <v>124</v>
      </c>
      <c r="B31" s="2" t="s">
        <v>125</v>
      </c>
      <c r="C31" s="2" t="s">
        <v>26</v>
      </c>
      <c r="D31" s="2" t="s">
        <v>14</v>
      </c>
      <c r="E31" s="2" t="s">
        <v>15</v>
      </c>
      <c r="F31" s="2">
        <v>3</v>
      </c>
      <c r="G31" s="2">
        <v>8683</v>
      </c>
      <c r="H31" s="2">
        <v>26049</v>
      </c>
      <c r="I31" s="2" t="s">
        <v>34</v>
      </c>
      <c r="J31" s="2" t="s">
        <v>65</v>
      </c>
      <c r="K31" s="2">
        <v>1</v>
      </c>
      <c r="L31" s="2">
        <f>COUNTIF(TableTransections[[#All],[Customer ID]],TableTransections[[#This Row],[Customer ID]])</f>
        <v>3</v>
      </c>
    </row>
    <row r="32" spans="1:12" x14ac:dyDescent="0.3">
      <c r="A32" s="2" t="s">
        <v>126</v>
      </c>
      <c r="B32" s="2" t="s">
        <v>127</v>
      </c>
      <c r="C32" s="2" t="s">
        <v>128</v>
      </c>
      <c r="D32" s="2" t="s">
        <v>21</v>
      </c>
      <c r="E32" s="2" t="s">
        <v>22</v>
      </c>
      <c r="F32" s="2">
        <v>4</v>
      </c>
      <c r="G32" s="2">
        <v>6372</v>
      </c>
      <c r="H32" s="2">
        <v>25488</v>
      </c>
      <c r="I32" s="2" t="s">
        <v>23</v>
      </c>
      <c r="J32" s="2" t="s">
        <v>91</v>
      </c>
      <c r="K32" s="2">
        <v>1</v>
      </c>
      <c r="L32" s="2">
        <f>COUNTIF(TableTransections[[#All],[Customer ID]],TableTransections[[#This Row],[Customer ID]])</f>
        <v>3</v>
      </c>
    </row>
    <row r="33" spans="1:12" x14ac:dyDescent="0.3">
      <c r="A33" s="2" t="s">
        <v>129</v>
      </c>
      <c r="B33" s="2" t="s">
        <v>130</v>
      </c>
      <c r="C33" s="2" t="s">
        <v>20</v>
      </c>
      <c r="D33" s="2" t="s">
        <v>56</v>
      </c>
      <c r="E33" s="2" t="s">
        <v>57</v>
      </c>
      <c r="F33" s="2">
        <v>7</v>
      </c>
      <c r="G33" s="2">
        <v>519</v>
      </c>
      <c r="H33" s="2">
        <v>3633</v>
      </c>
      <c r="I33" s="2" t="s">
        <v>16</v>
      </c>
      <c r="J33" s="2" t="s">
        <v>52</v>
      </c>
      <c r="K33" s="2">
        <v>3</v>
      </c>
      <c r="L33" s="2">
        <f>COUNTIF(TableTransections[[#All],[Customer ID]],TableTransections[[#This Row],[Customer ID]])</f>
        <v>3</v>
      </c>
    </row>
    <row r="34" spans="1:12" x14ac:dyDescent="0.3">
      <c r="A34" s="2" t="s">
        <v>131</v>
      </c>
      <c r="B34" s="2" t="s">
        <v>46</v>
      </c>
      <c r="C34" s="2" t="s">
        <v>132</v>
      </c>
      <c r="D34" s="2" t="s">
        <v>56</v>
      </c>
      <c r="E34" s="2" t="s">
        <v>133</v>
      </c>
      <c r="F34" s="2">
        <v>6</v>
      </c>
      <c r="G34" s="2">
        <v>5888</v>
      </c>
      <c r="H34" s="2">
        <v>35328</v>
      </c>
      <c r="I34" s="2" t="s">
        <v>48</v>
      </c>
      <c r="J34" s="2" t="s">
        <v>91</v>
      </c>
      <c r="K34" s="2">
        <v>1</v>
      </c>
      <c r="L34" s="2">
        <f>COUNTIF(TableTransections[[#All],[Customer ID]],TableTransections[[#This Row],[Customer ID]])</f>
        <v>2</v>
      </c>
    </row>
    <row r="35" spans="1:12" x14ac:dyDescent="0.3">
      <c r="A35" s="2" t="s">
        <v>134</v>
      </c>
      <c r="B35" s="2" t="s">
        <v>135</v>
      </c>
      <c r="C35" s="2" t="s">
        <v>123</v>
      </c>
      <c r="D35" s="2" t="s">
        <v>14</v>
      </c>
      <c r="E35" s="2" t="s">
        <v>69</v>
      </c>
      <c r="F35" s="2">
        <v>9</v>
      </c>
      <c r="G35" s="2">
        <v>5935</v>
      </c>
      <c r="H35" s="2">
        <v>53415</v>
      </c>
      <c r="I35" s="2" t="s">
        <v>48</v>
      </c>
      <c r="J35" s="2" t="s">
        <v>136</v>
      </c>
      <c r="K35" s="2">
        <v>1</v>
      </c>
      <c r="L35" s="2">
        <f>COUNTIF(TableTransections[[#All],[Customer ID]],TableTransections[[#This Row],[Customer ID]])</f>
        <v>5</v>
      </c>
    </row>
    <row r="36" spans="1:12" x14ac:dyDescent="0.3">
      <c r="A36" s="2" t="s">
        <v>137</v>
      </c>
      <c r="B36" s="2" t="s">
        <v>138</v>
      </c>
      <c r="C36" s="2" t="s">
        <v>139</v>
      </c>
      <c r="D36" s="2" t="s">
        <v>14</v>
      </c>
      <c r="E36" s="2" t="s">
        <v>140</v>
      </c>
      <c r="F36" s="2">
        <v>7</v>
      </c>
      <c r="G36" s="2">
        <v>22253</v>
      </c>
      <c r="H36" s="2">
        <v>155771</v>
      </c>
      <c r="I36" s="2" t="s">
        <v>23</v>
      </c>
      <c r="J36" s="2" t="s">
        <v>136</v>
      </c>
      <c r="K36" s="2">
        <v>5</v>
      </c>
      <c r="L36" s="2">
        <f>COUNTIF(TableTransections[[#All],[Customer ID]],TableTransections[[#This Row],[Customer ID]])</f>
        <v>3</v>
      </c>
    </row>
    <row r="37" spans="1:12" x14ac:dyDescent="0.3">
      <c r="A37" s="2" t="s">
        <v>141</v>
      </c>
      <c r="B37" s="2" t="s">
        <v>142</v>
      </c>
      <c r="C37" s="2" t="s">
        <v>143</v>
      </c>
      <c r="D37" s="2" t="s">
        <v>14</v>
      </c>
      <c r="E37" s="2" t="s">
        <v>140</v>
      </c>
      <c r="F37" s="2">
        <v>5</v>
      </c>
      <c r="G37" s="2">
        <v>5488</v>
      </c>
      <c r="H37" s="2">
        <v>27440</v>
      </c>
      <c r="I37" s="2" t="s">
        <v>64</v>
      </c>
      <c r="J37" s="2" t="s">
        <v>17</v>
      </c>
      <c r="K37" s="2">
        <v>5</v>
      </c>
      <c r="L37" s="2">
        <f>COUNTIF(TableTransections[[#All],[Customer ID]],TableTransections[[#This Row],[Customer ID]])</f>
        <v>3</v>
      </c>
    </row>
    <row r="38" spans="1:12" x14ac:dyDescent="0.3">
      <c r="A38" s="2" t="s">
        <v>144</v>
      </c>
      <c r="B38" s="2" t="s">
        <v>145</v>
      </c>
      <c r="C38" s="2" t="s">
        <v>146</v>
      </c>
      <c r="D38" s="2" t="s">
        <v>27</v>
      </c>
      <c r="E38" s="2" t="s">
        <v>87</v>
      </c>
      <c r="F38" s="2">
        <v>8</v>
      </c>
      <c r="G38" s="2">
        <v>21048</v>
      </c>
      <c r="H38" s="2">
        <v>168384</v>
      </c>
      <c r="I38" s="2" t="s">
        <v>16</v>
      </c>
      <c r="J38" s="2" t="s">
        <v>44</v>
      </c>
      <c r="K38" s="2">
        <v>4</v>
      </c>
      <c r="L38" s="2">
        <f>COUNTIF(TableTransections[[#All],[Customer ID]],TableTransections[[#This Row],[Customer ID]])</f>
        <v>4</v>
      </c>
    </row>
    <row r="39" spans="1:12" x14ac:dyDescent="0.3">
      <c r="A39" s="2" t="s">
        <v>147</v>
      </c>
      <c r="B39" s="2" t="s">
        <v>148</v>
      </c>
      <c r="C39" s="2" t="s">
        <v>132</v>
      </c>
      <c r="D39" s="2" t="s">
        <v>21</v>
      </c>
      <c r="E39" s="2" t="s">
        <v>149</v>
      </c>
      <c r="F39" s="2">
        <v>10</v>
      </c>
      <c r="G39" s="2">
        <v>16618</v>
      </c>
      <c r="H39" s="2">
        <v>166180</v>
      </c>
      <c r="I39" s="2" t="s">
        <v>34</v>
      </c>
      <c r="J39" s="2" t="s">
        <v>150</v>
      </c>
      <c r="K39" s="2">
        <v>1</v>
      </c>
      <c r="L39" s="2">
        <f>COUNTIF(TableTransections[[#All],[Customer ID]],TableTransections[[#This Row],[Customer ID]])</f>
        <v>3</v>
      </c>
    </row>
    <row r="40" spans="1:12" x14ac:dyDescent="0.3">
      <c r="A40" s="2" t="s">
        <v>151</v>
      </c>
      <c r="B40" s="2" t="s">
        <v>152</v>
      </c>
      <c r="C40" s="2" t="s">
        <v>153</v>
      </c>
      <c r="D40" s="2" t="s">
        <v>14</v>
      </c>
      <c r="E40" s="2" t="s">
        <v>15</v>
      </c>
      <c r="F40" s="2">
        <v>3</v>
      </c>
      <c r="G40" s="2">
        <v>28130</v>
      </c>
      <c r="H40" s="2">
        <v>84390</v>
      </c>
      <c r="I40" s="2" t="s">
        <v>48</v>
      </c>
      <c r="J40" s="2" t="s">
        <v>44</v>
      </c>
      <c r="K40" s="2">
        <v>1</v>
      </c>
      <c r="L40" s="2">
        <f>COUNTIF(TableTransections[[#All],[Customer ID]],TableTransections[[#This Row],[Customer ID]])</f>
        <v>3</v>
      </c>
    </row>
    <row r="41" spans="1:12" x14ac:dyDescent="0.3">
      <c r="A41" s="2" t="s">
        <v>154</v>
      </c>
      <c r="B41" s="2" t="s">
        <v>155</v>
      </c>
      <c r="C41" s="2" t="s">
        <v>156</v>
      </c>
      <c r="D41" s="2" t="s">
        <v>14</v>
      </c>
      <c r="E41" s="2" t="s">
        <v>140</v>
      </c>
      <c r="F41" s="2">
        <v>10</v>
      </c>
      <c r="G41" s="2">
        <v>8395</v>
      </c>
      <c r="H41" s="2">
        <v>83950</v>
      </c>
      <c r="I41" s="2" t="s">
        <v>16</v>
      </c>
      <c r="J41" s="2" t="s">
        <v>150</v>
      </c>
      <c r="K41" s="2">
        <v>4</v>
      </c>
      <c r="L41" s="2">
        <f>COUNTIF(TableTransections[[#All],[Customer ID]],TableTransections[[#This Row],[Customer ID]])</f>
        <v>5</v>
      </c>
    </row>
    <row r="42" spans="1:12" x14ac:dyDescent="0.3">
      <c r="A42" s="2" t="s">
        <v>157</v>
      </c>
      <c r="B42" s="2" t="s">
        <v>158</v>
      </c>
      <c r="C42" s="2" t="s">
        <v>159</v>
      </c>
      <c r="D42" s="2" t="s">
        <v>14</v>
      </c>
      <c r="E42" s="2" t="s">
        <v>140</v>
      </c>
      <c r="F42" s="2">
        <v>7</v>
      </c>
      <c r="G42" s="2">
        <v>14496</v>
      </c>
      <c r="H42" s="2">
        <v>101472</v>
      </c>
      <c r="I42" s="2" t="s">
        <v>48</v>
      </c>
      <c r="J42" s="2" t="s">
        <v>17</v>
      </c>
      <c r="K42" s="2">
        <v>1</v>
      </c>
      <c r="L42" s="2">
        <f>COUNTIF(TableTransections[[#All],[Customer ID]],TableTransections[[#This Row],[Customer ID]])</f>
        <v>2</v>
      </c>
    </row>
    <row r="43" spans="1:12" x14ac:dyDescent="0.3">
      <c r="A43" s="2" t="s">
        <v>160</v>
      </c>
      <c r="B43" s="2" t="s">
        <v>125</v>
      </c>
      <c r="C43" s="2" t="s">
        <v>161</v>
      </c>
      <c r="D43" s="2" t="s">
        <v>14</v>
      </c>
      <c r="E43" s="2" t="s">
        <v>15</v>
      </c>
      <c r="F43" s="2">
        <v>7</v>
      </c>
      <c r="G43" s="2">
        <v>22211</v>
      </c>
      <c r="H43" s="2">
        <v>155477</v>
      </c>
      <c r="I43" s="2" t="s">
        <v>64</v>
      </c>
      <c r="J43" s="2" t="s">
        <v>65</v>
      </c>
      <c r="K43" s="2">
        <v>1</v>
      </c>
      <c r="L43" s="2">
        <f>COUNTIF(TableTransections[[#All],[Customer ID]],TableTransections[[#This Row],[Customer ID]])</f>
        <v>3</v>
      </c>
    </row>
    <row r="44" spans="1:12" x14ac:dyDescent="0.3">
      <c r="A44" s="2" t="s">
        <v>162</v>
      </c>
      <c r="B44" s="2" t="s">
        <v>163</v>
      </c>
      <c r="C44" s="2" t="s">
        <v>164</v>
      </c>
      <c r="D44" s="2" t="s">
        <v>14</v>
      </c>
      <c r="E44" s="2" t="s">
        <v>15</v>
      </c>
      <c r="F44" s="2">
        <v>2</v>
      </c>
      <c r="G44" s="2">
        <v>11900</v>
      </c>
      <c r="H44" s="2">
        <v>23800</v>
      </c>
      <c r="I44" s="2" t="s">
        <v>16</v>
      </c>
      <c r="J44" s="2" t="s">
        <v>136</v>
      </c>
      <c r="K44" s="2">
        <v>4</v>
      </c>
      <c r="L44" s="2">
        <f>COUNTIF(TableTransections[[#All],[Customer ID]],TableTransections[[#This Row],[Customer ID]])</f>
        <v>6</v>
      </c>
    </row>
    <row r="45" spans="1:12" x14ac:dyDescent="0.3">
      <c r="A45" s="2" t="s">
        <v>165</v>
      </c>
      <c r="B45" s="2" t="s">
        <v>40</v>
      </c>
      <c r="C45" s="2" t="s">
        <v>166</v>
      </c>
      <c r="D45" s="2" t="s">
        <v>14</v>
      </c>
      <c r="E45" s="2" t="s">
        <v>167</v>
      </c>
      <c r="F45" s="2">
        <v>6</v>
      </c>
      <c r="G45" s="2">
        <v>19934</v>
      </c>
      <c r="H45" s="2">
        <v>119604</v>
      </c>
      <c r="I45" s="2" t="s">
        <v>34</v>
      </c>
      <c r="J45" s="2" t="s">
        <v>65</v>
      </c>
      <c r="K45" s="2">
        <v>4</v>
      </c>
      <c r="L45" s="2">
        <f>COUNTIF(TableTransections[[#All],[Customer ID]],TableTransections[[#This Row],[Customer ID]])</f>
        <v>3</v>
      </c>
    </row>
    <row r="46" spans="1:12" x14ac:dyDescent="0.3">
      <c r="A46" s="2" t="s">
        <v>168</v>
      </c>
      <c r="B46" s="2" t="s">
        <v>169</v>
      </c>
      <c r="C46" s="2" t="s">
        <v>170</v>
      </c>
      <c r="D46" s="2" t="s">
        <v>21</v>
      </c>
      <c r="E46" s="2" t="s">
        <v>106</v>
      </c>
      <c r="F46" s="2">
        <v>3</v>
      </c>
      <c r="G46" s="2">
        <v>13819</v>
      </c>
      <c r="H46" s="2">
        <v>41457</v>
      </c>
      <c r="I46" s="2" t="s">
        <v>23</v>
      </c>
      <c r="J46" s="2" t="s">
        <v>136</v>
      </c>
      <c r="K46" s="2">
        <v>4</v>
      </c>
      <c r="L46" s="2">
        <f>COUNTIF(TableTransections[[#All],[Customer ID]],TableTransections[[#This Row],[Customer ID]])</f>
        <v>3</v>
      </c>
    </row>
    <row r="47" spans="1:12" x14ac:dyDescent="0.3">
      <c r="A47" s="2" t="s">
        <v>171</v>
      </c>
      <c r="B47" s="2" t="s">
        <v>19</v>
      </c>
      <c r="C47" s="2" t="s">
        <v>172</v>
      </c>
      <c r="D47" s="2" t="s">
        <v>14</v>
      </c>
      <c r="E47" s="2" t="s">
        <v>15</v>
      </c>
      <c r="F47" s="2">
        <v>3</v>
      </c>
      <c r="G47" s="2">
        <v>8697</v>
      </c>
      <c r="H47" s="2">
        <v>26091</v>
      </c>
      <c r="I47" s="2" t="s">
        <v>48</v>
      </c>
      <c r="J47" s="2" t="s">
        <v>136</v>
      </c>
      <c r="K47" s="2">
        <v>4</v>
      </c>
      <c r="L47" s="2">
        <f>COUNTIF(TableTransections[[#All],[Customer ID]],TableTransections[[#This Row],[Customer ID]])</f>
        <v>7</v>
      </c>
    </row>
    <row r="48" spans="1:12" x14ac:dyDescent="0.3">
      <c r="A48" s="2" t="s">
        <v>173</v>
      </c>
      <c r="B48" s="2" t="s">
        <v>83</v>
      </c>
      <c r="C48" s="2" t="s">
        <v>174</v>
      </c>
      <c r="D48" s="2" t="s">
        <v>56</v>
      </c>
      <c r="E48" s="2" t="s">
        <v>78</v>
      </c>
      <c r="F48" s="2">
        <v>2</v>
      </c>
      <c r="G48" s="2">
        <v>1038</v>
      </c>
      <c r="H48" s="2">
        <v>2076</v>
      </c>
      <c r="I48" s="2" t="s">
        <v>48</v>
      </c>
      <c r="J48" s="2" t="s">
        <v>29</v>
      </c>
      <c r="K48" s="2">
        <v>2</v>
      </c>
      <c r="L48" s="2">
        <f>COUNTIF(TableTransections[[#All],[Customer ID]],TableTransections[[#This Row],[Customer ID]])</f>
        <v>5</v>
      </c>
    </row>
    <row r="49" spans="1:12" x14ac:dyDescent="0.3">
      <c r="A49" s="2" t="s">
        <v>175</v>
      </c>
      <c r="B49" s="2" t="s">
        <v>176</v>
      </c>
      <c r="C49" s="2" t="s">
        <v>177</v>
      </c>
      <c r="D49" s="2" t="s">
        <v>56</v>
      </c>
      <c r="E49" s="2" t="s">
        <v>178</v>
      </c>
      <c r="F49" s="2">
        <v>7</v>
      </c>
      <c r="G49" s="2">
        <v>11648</v>
      </c>
      <c r="H49" s="2">
        <v>81536</v>
      </c>
      <c r="I49" s="2" t="s">
        <v>34</v>
      </c>
      <c r="J49" s="2" t="s">
        <v>150</v>
      </c>
      <c r="K49" s="2">
        <v>2</v>
      </c>
      <c r="L49" s="2">
        <f>COUNTIF(TableTransections[[#All],[Customer ID]],TableTransections[[#This Row],[Customer ID]])</f>
        <v>4</v>
      </c>
    </row>
    <row r="50" spans="1:12" x14ac:dyDescent="0.3">
      <c r="A50" s="2" t="s">
        <v>179</v>
      </c>
      <c r="B50" s="2" t="s">
        <v>180</v>
      </c>
      <c r="C50" s="2" t="s">
        <v>161</v>
      </c>
      <c r="D50" s="2" t="s">
        <v>42</v>
      </c>
      <c r="E50" s="2" t="s">
        <v>43</v>
      </c>
      <c r="F50" s="2">
        <v>7</v>
      </c>
      <c r="G50" s="2">
        <v>4843</v>
      </c>
      <c r="H50" s="2">
        <v>33901</v>
      </c>
      <c r="I50" s="2" t="s">
        <v>48</v>
      </c>
      <c r="J50" s="2" t="s">
        <v>44</v>
      </c>
      <c r="K50" s="2">
        <v>4</v>
      </c>
      <c r="L50" s="2">
        <f>COUNTIF(TableTransections[[#All],[Customer ID]],TableTransections[[#This Row],[Customer ID]])</f>
        <v>1</v>
      </c>
    </row>
    <row r="51" spans="1:12" x14ac:dyDescent="0.3">
      <c r="A51" s="2" t="s">
        <v>181</v>
      </c>
      <c r="B51" s="2" t="s">
        <v>182</v>
      </c>
      <c r="C51" s="2" t="s">
        <v>183</v>
      </c>
      <c r="D51" s="2" t="s">
        <v>42</v>
      </c>
      <c r="E51" s="2" t="s">
        <v>184</v>
      </c>
      <c r="F51" s="2">
        <v>10</v>
      </c>
      <c r="G51" s="2">
        <v>26881</v>
      </c>
      <c r="H51" s="2">
        <v>268810</v>
      </c>
      <c r="I51" s="2" t="s">
        <v>48</v>
      </c>
      <c r="J51" s="2" t="s">
        <v>136</v>
      </c>
      <c r="K51" s="2">
        <v>5</v>
      </c>
      <c r="L51" s="2">
        <f>COUNTIF(TableTransections[[#All],[Customer ID]],TableTransections[[#This Row],[Customer ID]])</f>
        <v>1</v>
      </c>
    </row>
    <row r="52" spans="1:12" x14ac:dyDescent="0.3">
      <c r="A52" s="2" t="s">
        <v>185</v>
      </c>
      <c r="B52" s="2" t="s">
        <v>37</v>
      </c>
      <c r="C52" s="2" t="s">
        <v>186</v>
      </c>
      <c r="D52" s="2" t="s">
        <v>14</v>
      </c>
      <c r="E52" s="2" t="s">
        <v>140</v>
      </c>
      <c r="F52" s="2">
        <v>9</v>
      </c>
      <c r="G52" s="2">
        <v>26494</v>
      </c>
      <c r="H52" s="2">
        <v>238446</v>
      </c>
      <c r="I52" s="2" t="s">
        <v>48</v>
      </c>
      <c r="J52" s="2" t="s">
        <v>44</v>
      </c>
      <c r="K52" s="2">
        <v>3</v>
      </c>
      <c r="L52" s="2">
        <f>COUNTIF(TableTransections[[#All],[Customer ID]],TableTransections[[#This Row],[Customer ID]])</f>
        <v>4</v>
      </c>
    </row>
    <row r="53" spans="1:12" x14ac:dyDescent="0.3">
      <c r="A53" s="2" t="s">
        <v>187</v>
      </c>
      <c r="B53" s="2" t="s">
        <v>188</v>
      </c>
      <c r="C53" s="2" t="s">
        <v>189</v>
      </c>
      <c r="D53" s="2" t="s">
        <v>42</v>
      </c>
      <c r="E53" s="2" t="s">
        <v>95</v>
      </c>
      <c r="F53" s="2">
        <v>3</v>
      </c>
      <c r="G53" s="2">
        <v>14003</v>
      </c>
      <c r="H53" s="2">
        <v>42009</v>
      </c>
      <c r="I53" s="2" t="s">
        <v>34</v>
      </c>
      <c r="J53" s="2" t="s">
        <v>52</v>
      </c>
      <c r="K53" s="2">
        <v>5</v>
      </c>
      <c r="L53" s="2">
        <f>COUNTIF(TableTransections[[#All],[Customer ID]],TableTransections[[#This Row],[Customer ID]])</f>
        <v>5</v>
      </c>
    </row>
    <row r="54" spans="1:12" x14ac:dyDescent="0.3">
      <c r="A54" s="2" t="s">
        <v>190</v>
      </c>
      <c r="B54" s="2" t="s">
        <v>191</v>
      </c>
      <c r="C54" s="2" t="s">
        <v>108</v>
      </c>
      <c r="D54" s="2" t="s">
        <v>56</v>
      </c>
      <c r="E54" s="2" t="s">
        <v>178</v>
      </c>
      <c r="F54" s="2">
        <v>8</v>
      </c>
      <c r="G54" s="2">
        <v>28812</v>
      </c>
      <c r="H54" s="2">
        <v>230496</v>
      </c>
      <c r="I54" s="2" t="s">
        <v>34</v>
      </c>
      <c r="J54" s="2" t="s">
        <v>29</v>
      </c>
      <c r="K54" s="2">
        <v>5</v>
      </c>
      <c r="L54" s="2">
        <f>COUNTIF(TableTransections[[#All],[Customer ID]],TableTransections[[#This Row],[Customer ID]])</f>
        <v>2</v>
      </c>
    </row>
    <row r="55" spans="1:12" x14ac:dyDescent="0.3">
      <c r="A55" s="2" t="s">
        <v>192</v>
      </c>
      <c r="B55" s="2" t="s">
        <v>193</v>
      </c>
      <c r="C55" s="2" t="s">
        <v>194</v>
      </c>
      <c r="D55" s="2" t="s">
        <v>42</v>
      </c>
      <c r="E55" s="2" t="s">
        <v>184</v>
      </c>
      <c r="F55" s="2">
        <v>7</v>
      </c>
      <c r="G55" s="2">
        <v>4809</v>
      </c>
      <c r="H55" s="2">
        <v>33663</v>
      </c>
      <c r="I55" s="2" t="s">
        <v>16</v>
      </c>
      <c r="J55" s="2" t="s">
        <v>17</v>
      </c>
      <c r="K55" s="2">
        <v>2</v>
      </c>
      <c r="L55" s="2">
        <f>COUNTIF(TableTransections[[#All],[Customer ID]],TableTransections[[#This Row],[Customer ID]])</f>
        <v>4</v>
      </c>
    </row>
    <row r="56" spans="1:12" x14ac:dyDescent="0.3">
      <c r="A56" s="2" t="s">
        <v>195</v>
      </c>
      <c r="B56" s="2" t="s">
        <v>50</v>
      </c>
      <c r="C56" s="2" t="s">
        <v>196</v>
      </c>
      <c r="D56" s="2" t="s">
        <v>14</v>
      </c>
      <c r="E56" s="2" t="s">
        <v>167</v>
      </c>
      <c r="F56" s="2">
        <v>1</v>
      </c>
      <c r="G56" s="2">
        <v>28957</v>
      </c>
      <c r="H56" s="2">
        <v>28957</v>
      </c>
      <c r="I56" s="2" t="s">
        <v>48</v>
      </c>
      <c r="J56" s="2" t="s">
        <v>65</v>
      </c>
      <c r="K56" s="2">
        <v>4</v>
      </c>
      <c r="L56" s="2">
        <f>COUNTIF(TableTransections[[#All],[Customer ID]],TableTransections[[#This Row],[Customer ID]])</f>
        <v>4</v>
      </c>
    </row>
    <row r="57" spans="1:12" x14ac:dyDescent="0.3">
      <c r="A57" s="2" t="s">
        <v>197</v>
      </c>
      <c r="B57" s="2" t="s">
        <v>198</v>
      </c>
      <c r="C57" s="2" t="s">
        <v>199</v>
      </c>
      <c r="D57" s="2" t="s">
        <v>56</v>
      </c>
      <c r="E57" s="2" t="s">
        <v>78</v>
      </c>
      <c r="F57" s="2">
        <v>5</v>
      </c>
      <c r="G57" s="2">
        <v>18215</v>
      </c>
      <c r="H57" s="2">
        <v>91075</v>
      </c>
      <c r="I57" s="2" t="s">
        <v>48</v>
      </c>
      <c r="J57" s="2" t="s">
        <v>52</v>
      </c>
      <c r="K57" s="2">
        <v>1</v>
      </c>
      <c r="L57" s="2">
        <f>COUNTIF(TableTransections[[#All],[Customer ID]],TableTransections[[#This Row],[Customer ID]])</f>
        <v>4</v>
      </c>
    </row>
    <row r="58" spans="1:12" x14ac:dyDescent="0.3">
      <c r="A58" s="2" t="s">
        <v>200</v>
      </c>
      <c r="B58" s="2" t="s">
        <v>201</v>
      </c>
      <c r="C58" s="2" t="s">
        <v>202</v>
      </c>
      <c r="D58" s="2" t="s">
        <v>14</v>
      </c>
      <c r="E58" s="2" t="s">
        <v>140</v>
      </c>
      <c r="F58" s="2">
        <v>9</v>
      </c>
      <c r="G58" s="2">
        <v>779</v>
      </c>
      <c r="H58" s="2">
        <v>7011</v>
      </c>
      <c r="I58" s="2" t="s">
        <v>16</v>
      </c>
      <c r="J58" s="2" t="s">
        <v>136</v>
      </c>
      <c r="K58" s="2">
        <v>5</v>
      </c>
      <c r="L58" s="2">
        <f>COUNTIF(TableTransections[[#All],[Customer ID]],TableTransections[[#This Row],[Customer ID]])</f>
        <v>3</v>
      </c>
    </row>
    <row r="59" spans="1:12" x14ac:dyDescent="0.3">
      <c r="A59" s="2" t="s">
        <v>203</v>
      </c>
      <c r="B59" s="2" t="s">
        <v>80</v>
      </c>
      <c r="C59" s="2" t="s">
        <v>98</v>
      </c>
      <c r="D59" s="2" t="s">
        <v>27</v>
      </c>
      <c r="E59" s="2" t="s">
        <v>28</v>
      </c>
      <c r="F59" s="2">
        <v>7</v>
      </c>
      <c r="G59" s="2">
        <v>25720</v>
      </c>
      <c r="H59" s="2">
        <v>180040</v>
      </c>
      <c r="I59" s="2" t="s">
        <v>64</v>
      </c>
      <c r="J59" s="2" t="s">
        <v>136</v>
      </c>
      <c r="K59" s="2">
        <v>1</v>
      </c>
      <c r="L59" s="2">
        <f>COUNTIF(TableTransections[[#All],[Customer ID]],TableTransections[[#This Row],[Customer ID]])</f>
        <v>3</v>
      </c>
    </row>
    <row r="60" spans="1:12" x14ac:dyDescent="0.3">
      <c r="A60" s="2" t="s">
        <v>204</v>
      </c>
      <c r="B60" s="2" t="s">
        <v>205</v>
      </c>
      <c r="C60" s="2" t="s">
        <v>206</v>
      </c>
      <c r="D60" s="2" t="s">
        <v>27</v>
      </c>
      <c r="E60" s="2" t="s">
        <v>207</v>
      </c>
      <c r="F60" s="2">
        <v>9</v>
      </c>
      <c r="G60" s="2">
        <v>25254</v>
      </c>
      <c r="H60" s="2">
        <v>227286</v>
      </c>
      <c r="I60" s="2" t="s">
        <v>16</v>
      </c>
      <c r="J60" s="2" t="s">
        <v>136</v>
      </c>
      <c r="K60" s="2">
        <v>3</v>
      </c>
      <c r="L60" s="2">
        <f>COUNTIF(TableTransections[[#All],[Customer ID]],TableTransections[[#This Row],[Customer ID]])</f>
        <v>3</v>
      </c>
    </row>
    <row r="61" spans="1:12" x14ac:dyDescent="0.3">
      <c r="A61" s="2" t="s">
        <v>208</v>
      </c>
      <c r="B61" s="2" t="s">
        <v>209</v>
      </c>
      <c r="C61" s="2" t="s">
        <v>210</v>
      </c>
      <c r="D61" s="2" t="s">
        <v>14</v>
      </c>
      <c r="E61" s="2" t="s">
        <v>167</v>
      </c>
      <c r="F61" s="2">
        <v>10</v>
      </c>
      <c r="G61" s="2">
        <v>17840</v>
      </c>
      <c r="H61" s="2">
        <v>178400</v>
      </c>
      <c r="I61" s="2" t="s">
        <v>16</v>
      </c>
      <c r="J61" s="2" t="s">
        <v>91</v>
      </c>
      <c r="K61" s="2">
        <v>2</v>
      </c>
      <c r="L61" s="2">
        <f>COUNTIF(TableTransections[[#All],[Customer ID]],TableTransections[[#This Row],[Customer ID]])</f>
        <v>2</v>
      </c>
    </row>
    <row r="62" spans="1:12" x14ac:dyDescent="0.3">
      <c r="A62" s="2" t="s">
        <v>211</v>
      </c>
      <c r="B62" s="2" t="s">
        <v>100</v>
      </c>
      <c r="C62" s="2" t="s">
        <v>212</v>
      </c>
      <c r="D62" s="2" t="s">
        <v>42</v>
      </c>
      <c r="E62" s="2" t="s">
        <v>184</v>
      </c>
      <c r="F62" s="2">
        <v>2</v>
      </c>
      <c r="G62" s="2">
        <v>9176</v>
      </c>
      <c r="H62" s="2">
        <v>18352</v>
      </c>
      <c r="I62" s="2" t="s">
        <v>64</v>
      </c>
      <c r="J62" s="2" t="s">
        <v>70</v>
      </c>
      <c r="K62" s="2">
        <v>4</v>
      </c>
      <c r="L62" s="2">
        <f>COUNTIF(TableTransections[[#All],[Customer ID]],TableTransections[[#This Row],[Customer ID]])</f>
        <v>5</v>
      </c>
    </row>
    <row r="63" spans="1:12" x14ac:dyDescent="0.3">
      <c r="A63" s="2" t="s">
        <v>213</v>
      </c>
      <c r="B63" s="2" t="s">
        <v>214</v>
      </c>
      <c r="C63" s="2" t="s">
        <v>86</v>
      </c>
      <c r="D63" s="2" t="s">
        <v>14</v>
      </c>
      <c r="E63" s="2" t="s">
        <v>69</v>
      </c>
      <c r="F63" s="2">
        <v>8</v>
      </c>
      <c r="G63" s="2">
        <v>15890</v>
      </c>
      <c r="H63" s="2">
        <v>127120</v>
      </c>
      <c r="I63" s="2" t="s">
        <v>16</v>
      </c>
      <c r="J63" s="2" t="s">
        <v>35</v>
      </c>
      <c r="K63" s="2">
        <v>4</v>
      </c>
      <c r="L63" s="2">
        <f>COUNTIF(TableTransections[[#All],[Customer ID]],TableTransections[[#This Row],[Customer ID]])</f>
        <v>2</v>
      </c>
    </row>
    <row r="64" spans="1:12" x14ac:dyDescent="0.3">
      <c r="A64" s="2" t="s">
        <v>215</v>
      </c>
      <c r="B64" s="2" t="s">
        <v>216</v>
      </c>
      <c r="C64" s="2" t="s">
        <v>156</v>
      </c>
      <c r="D64" s="2" t="s">
        <v>27</v>
      </c>
      <c r="E64" s="2" t="s">
        <v>87</v>
      </c>
      <c r="F64" s="2">
        <v>9</v>
      </c>
      <c r="G64" s="2">
        <v>24796</v>
      </c>
      <c r="H64" s="2">
        <v>223164</v>
      </c>
      <c r="I64" s="2" t="s">
        <v>48</v>
      </c>
      <c r="J64" s="2" t="s">
        <v>17</v>
      </c>
      <c r="K64" s="2">
        <v>2</v>
      </c>
      <c r="L64" s="2">
        <f>COUNTIF(TableTransections[[#All],[Customer ID]],TableTransections[[#This Row],[Customer ID]])</f>
        <v>2</v>
      </c>
    </row>
    <row r="65" spans="1:12" x14ac:dyDescent="0.3">
      <c r="A65" s="2" t="s">
        <v>217</v>
      </c>
      <c r="B65" s="2" t="s">
        <v>54</v>
      </c>
      <c r="C65" s="2" t="s">
        <v>218</v>
      </c>
      <c r="D65" s="2" t="s">
        <v>14</v>
      </c>
      <c r="E65" s="2" t="s">
        <v>15</v>
      </c>
      <c r="F65" s="2">
        <v>7</v>
      </c>
      <c r="G65" s="2">
        <v>1452</v>
      </c>
      <c r="H65" s="2">
        <v>10164</v>
      </c>
      <c r="I65" s="2" t="s">
        <v>16</v>
      </c>
      <c r="J65" s="2" t="s">
        <v>44</v>
      </c>
      <c r="K65" s="2">
        <v>2</v>
      </c>
      <c r="L65" s="2">
        <f>COUNTIF(TableTransections[[#All],[Customer ID]],TableTransections[[#This Row],[Customer ID]])</f>
        <v>3</v>
      </c>
    </row>
    <row r="66" spans="1:12" x14ac:dyDescent="0.3">
      <c r="A66" s="2" t="s">
        <v>219</v>
      </c>
      <c r="B66" s="2" t="s">
        <v>19</v>
      </c>
      <c r="C66" s="2" t="s">
        <v>220</v>
      </c>
      <c r="D66" s="2" t="s">
        <v>42</v>
      </c>
      <c r="E66" s="2" t="s">
        <v>60</v>
      </c>
      <c r="F66" s="2">
        <v>5</v>
      </c>
      <c r="G66" s="2">
        <v>14057</v>
      </c>
      <c r="H66" s="2">
        <v>70285</v>
      </c>
      <c r="I66" s="2" t="s">
        <v>16</v>
      </c>
      <c r="J66" s="2" t="s">
        <v>17</v>
      </c>
      <c r="K66" s="2">
        <v>4</v>
      </c>
      <c r="L66" s="2">
        <f>COUNTIF(TableTransections[[#All],[Customer ID]],TableTransections[[#This Row],[Customer ID]])</f>
        <v>7</v>
      </c>
    </row>
    <row r="67" spans="1:12" x14ac:dyDescent="0.3">
      <c r="A67" s="2" t="s">
        <v>221</v>
      </c>
      <c r="B67" s="2" t="s">
        <v>145</v>
      </c>
      <c r="C67" s="2" t="s">
        <v>222</v>
      </c>
      <c r="D67" s="2" t="s">
        <v>21</v>
      </c>
      <c r="E67" s="2" t="s">
        <v>22</v>
      </c>
      <c r="F67" s="2">
        <v>7</v>
      </c>
      <c r="G67" s="2">
        <v>4415</v>
      </c>
      <c r="H67" s="2">
        <v>30905</v>
      </c>
      <c r="I67" s="2" t="s">
        <v>48</v>
      </c>
      <c r="J67" s="2" t="s">
        <v>150</v>
      </c>
      <c r="K67" s="2">
        <v>5</v>
      </c>
      <c r="L67" s="2">
        <f>COUNTIF(TableTransections[[#All],[Customer ID]],TableTransections[[#This Row],[Customer ID]])</f>
        <v>4</v>
      </c>
    </row>
    <row r="68" spans="1:12" x14ac:dyDescent="0.3">
      <c r="A68" s="2" t="s">
        <v>223</v>
      </c>
      <c r="B68" s="2" t="s">
        <v>117</v>
      </c>
      <c r="C68" s="2" t="s">
        <v>224</v>
      </c>
      <c r="D68" s="2" t="s">
        <v>21</v>
      </c>
      <c r="E68" s="2" t="s">
        <v>33</v>
      </c>
      <c r="F68" s="2">
        <v>7</v>
      </c>
      <c r="G68" s="2">
        <v>4264</v>
      </c>
      <c r="H68" s="2">
        <v>29848</v>
      </c>
      <c r="I68" s="2" t="s">
        <v>34</v>
      </c>
      <c r="J68" s="2" t="s">
        <v>29</v>
      </c>
      <c r="K68" s="2">
        <v>4</v>
      </c>
      <c r="L68" s="2">
        <f>COUNTIF(TableTransections[[#All],[Customer ID]],TableTransections[[#This Row],[Customer ID]])</f>
        <v>4</v>
      </c>
    </row>
    <row r="69" spans="1:12" x14ac:dyDescent="0.3">
      <c r="A69" s="2" t="s">
        <v>225</v>
      </c>
      <c r="B69" s="2" t="s">
        <v>120</v>
      </c>
      <c r="C69" s="2" t="s">
        <v>132</v>
      </c>
      <c r="D69" s="2" t="s">
        <v>14</v>
      </c>
      <c r="E69" s="2" t="s">
        <v>15</v>
      </c>
      <c r="F69" s="2">
        <v>4</v>
      </c>
      <c r="G69" s="2">
        <v>28223</v>
      </c>
      <c r="H69" s="2">
        <v>112892</v>
      </c>
      <c r="I69" s="2" t="s">
        <v>34</v>
      </c>
      <c r="J69" s="2" t="s">
        <v>52</v>
      </c>
      <c r="K69" s="2">
        <v>3</v>
      </c>
      <c r="L69" s="2">
        <f>COUNTIF(TableTransections[[#All],[Customer ID]],TableTransections[[#This Row],[Customer ID]])</f>
        <v>2</v>
      </c>
    </row>
    <row r="70" spans="1:12" x14ac:dyDescent="0.3">
      <c r="A70" s="2" t="s">
        <v>226</v>
      </c>
      <c r="B70" s="2" t="s">
        <v>122</v>
      </c>
      <c r="C70" s="2" t="s">
        <v>227</v>
      </c>
      <c r="D70" s="2" t="s">
        <v>21</v>
      </c>
      <c r="E70" s="2" t="s">
        <v>149</v>
      </c>
      <c r="F70" s="2">
        <v>1</v>
      </c>
      <c r="G70" s="2">
        <v>1451</v>
      </c>
      <c r="H70" s="2">
        <v>1451</v>
      </c>
      <c r="I70" s="2" t="s">
        <v>48</v>
      </c>
      <c r="J70" s="2" t="s">
        <v>70</v>
      </c>
      <c r="K70" s="2">
        <v>4</v>
      </c>
      <c r="L70" s="2">
        <f>COUNTIF(TableTransections[[#All],[Customer ID]],TableTransections[[#This Row],[Customer ID]])</f>
        <v>4</v>
      </c>
    </row>
    <row r="71" spans="1:12" x14ac:dyDescent="0.3">
      <c r="A71" s="2" t="s">
        <v>228</v>
      </c>
      <c r="B71" s="2" t="s">
        <v>229</v>
      </c>
      <c r="C71" s="2" t="s">
        <v>230</v>
      </c>
      <c r="D71" s="2" t="s">
        <v>14</v>
      </c>
      <c r="E71" s="2" t="s">
        <v>69</v>
      </c>
      <c r="F71" s="2">
        <v>10</v>
      </c>
      <c r="G71" s="2">
        <v>20193</v>
      </c>
      <c r="H71" s="2">
        <v>201930</v>
      </c>
      <c r="I71" s="2" t="s">
        <v>48</v>
      </c>
      <c r="J71" s="2" t="s">
        <v>44</v>
      </c>
      <c r="K71" s="2">
        <v>3</v>
      </c>
      <c r="L71" s="2">
        <f>COUNTIF(TableTransections[[#All],[Customer ID]],TableTransections[[#This Row],[Customer ID]])</f>
        <v>2</v>
      </c>
    </row>
    <row r="72" spans="1:12" x14ac:dyDescent="0.3">
      <c r="A72" s="2" t="s">
        <v>231</v>
      </c>
      <c r="B72" s="2" t="s">
        <v>232</v>
      </c>
      <c r="C72" s="2" t="s">
        <v>233</v>
      </c>
      <c r="D72" s="2" t="s">
        <v>27</v>
      </c>
      <c r="E72" s="2" t="s">
        <v>207</v>
      </c>
      <c r="F72" s="2">
        <v>10</v>
      </c>
      <c r="G72" s="2">
        <v>12782</v>
      </c>
      <c r="H72" s="2">
        <v>127820</v>
      </c>
      <c r="I72" s="2" t="s">
        <v>34</v>
      </c>
      <c r="J72" s="2" t="s">
        <v>65</v>
      </c>
      <c r="K72" s="2">
        <v>5</v>
      </c>
      <c r="L72" s="2">
        <f>COUNTIF(TableTransections[[#All],[Customer ID]],TableTransections[[#This Row],[Customer ID]])</f>
        <v>3</v>
      </c>
    </row>
    <row r="73" spans="1:12" x14ac:dyDescent="0.3">
      <c r="A73" s="2" t="s">
        <v>234</v>
      </c>
      <c r="B73" s="2" t="s">
        <v>193</v>
      </c>
      <c r="C73" s="2" t="s">
        <v>235</v>
      </c>
      <c r="D73" s="2" t="s">
        <v>56</v>
      </c>
      <c r="E73" s="2" t="s">
        <v>78</v>
      </c>
      <c r="F73" s="2">
        <v>4</v>
      </c>
      <c r="G73" s="2">
        <v>1844</v>
      </c>
      <c r="H73" s="2">
        <v>7376</v>
      </c>
      <c r="I73" s="2" t="s">
        <v>23</v>
      </c>
      <c r="J73" s="2" t="s">
        <v>35</v>
      </c>
      <c r="K73" s="2">
        <v>5</v>
      </c>
      <c r="L73" s="2">
        <f>COUNTIF(TableTransections[[#All],[Customer ID]],TableTransections[[#This Row],[Customer ID]])</f>
        <v>4</v>
      </c>
    </row>
    <row r="74" spans="1:12" x14ac:dyDescent="0.3">
      <c r="A74" s="2" t="s">
        <v>236</v>
      </c>
      <c r="B74" s="2" t="s">
        <v>237</v>
      </c>
      <c r="C74" s="2" t="s">
        <v>238</v>
      </c>
      <c r="D74" s="2" t="s">
        <v>21</v>
      </c>
      <c r="E74" s="2" t="s">
        <v>106</v>
      </c>
      <c r="F74" s="2">
        <v>1</v>
      </c>
      <c r="G74" s="2">
        <v>24498</v>
      </c>
      <c r="H74" s="2">
        <v>24498</v>
      </c>
      <c r="I74" s="2" t="s">
        <v>34</v>
      </c>
      <c r="J74" s="2" t="s">
        <v>65</v>
      </c>
      <c r="K74" s="2">
        <v>2</v>
      </c>
      <c r="L74" s="2">
        <f>COUNTIF(TableTransections[[#All],[Customer ID]],TableTransections[[#This Row],[Customer ID]])</f>
        <v>4</v>
      </c>
    </row>
    <row r="75" spans="1:12" x14ac:dyDescent="0.3">
      <c r="A75" s="2" t="s">
        <v>239</v>
      </c>
      <c r="B75" s="2" t="s">
        <v>100</v>
      </c>
      <c r="C75" s="2" t="s">
        <v>240</v>
      </c>
      <c r="D75" s="2" t="s">
        <v>21</v>
      </c>
      <c r="E75" s="2" t="s">
        <v>149</v>
      </c>
      <c r="F75" s="2">
        <v>8</v>
      </c>
      <c r="G75" s="2">
        <v>18696</v>
      </c>
      <c r="H75" s="2">
        <v>149568</v>
      </c>
      <c r="I75" s="2" t="s">
        <v>64</v>
      </c>
      <c r="J75" s="2" t="s">
        <v>91</v>
      </c>
      <c r="K75" s="2">
        <v>4</v>
      </c>
      <c r="L75" s="2">
        <f>COUNTIF(TableTransections[[#All],[Customer ID]],TableTransections[[#This Row],[Customer ID]])</f>
        <v>5</v>
      </c>
    </row>
    <row r="76" spans="1:12" x14ac:dyDescent="0.3">
      <c r="A76" s="2" t="s">
        <v>241</v>
      </c>
      <c r="B76" s="2" t="s">
        <v>100</v>
      </c>
      <c r="C76" s="2" t="s">
        <v>13</v>
      </c>
      <c r="D76" s="2" t="s">
        <v>14</v>
      </c>
      <c r="E76" s="2" t="s">
        <v>140</v>
      </c>
      <c r="F76" s="2">
        <v>9</v>
      </c>
      <c r="G76" s="2">
        <v>24572</v>
      </c>
      <c r="H76" s="2">
        <v>221148</v>
      </c>
      <c r="I76" s="2" t="s">
        <v>64</v>
      </c>
      <c r="J76" s="2" t="s">
        <v>150</v>
      </c>
      <c r="K76" s="2">
        <v>4</v>
      </c>
      <c r="L76" s="2">
        <f>COUNTIF(TableTransections[[#All],[Customer ID]],TableTransections[[#This Row],[Customer ID]])</f>
        <v>5</v>
      </c>
    </row>
    <row r="77" spans="1:12" x14ac:dyDescent="0.3">
      <c r="A77" s="2" t="s">
        <v>242</v>
      </c>
      <c r="B77" s="2" t="s">
        <v>201</v>
      </c>
      <c r="C77" s="2" t="s">
        <v>243</v>
      </c>
      <c r="D77" s="2" t="s">
        <v>42</v>
      </c>
      <c r="E77" s="2" t="s">
        <v>43</v>
      </c>
      <c r="F77" s="2">
        <v>6</v>
      </c>
      <c r="G77" s="2">
        <v>18770</v>
      </c>
      <c r="H77" s="2">
        <v>112620</v>
      </c>
      <c r="I77" s="2" t="s">
        <v>16</v>
      </c>
      <c r="J77" s="2" t="s">
        <v>70</v>
      </c>
      <c r="K77" s="2">
        <v>4</v>
      </c>
      <c r="L77" s="2">
        <f>COUNTIF(TableTransections[[#All],[Customer ID]],TableTransections[[#This Row],[Customer ID]])</f>
        <v>3</v>
      </c>
    </row>
    <row r="78" spans="1:12" x14ac:dyDescent="0.3">
      <c r="A78" s="2" t="s">
        <v>244</v>
      </c>
      <c r="B78" s="2" t="s">
        <v>130</v>
      </c>
      <c r="C78" s="2" t="s">
        <v>245</v>
      </c>
      <c r="D78" s="2" t="s">
        <v>42</v>
      </c>
      <c r="E78" s="2" t="s">
        <v>60</v>
      </c>
      <c r="F78" s="2">
        <v>7</v>
      </c>
      <c r="G78" s="2">
        <v>1030</v>
      </c>
      <c r="H78" s="2">
        <v>7210</v>
      </c>
      <c r="I78" s="2" t="s">
        <v>16</v>
      </c>
      <c r="J78" s="2" t="s">
        <v>29</v>
      </c>
      <c r="K78" s="2">
        <v>1</v>
      </c>
      <c r="L78" s="2">
        <f>COUNTIF(TableTransections[[#All],[Customer ID]],TableTransections[[#This Row],[Customer ID]])</f>
        <v>3</v>
      </c>
    </row>
    <row r="79" spans="1:12" x14ac:dyDescent="0.3">
      <c r="A79" s="2" t="s">
        <v>246</v>
      </c>
      <c r="B79" s="2" t="s">
        <v>247</v>
      </c>
      <c r="C79" s="2" t="s">
        <v>248</v>
      </c>
      <c r="D79" s="2" t="s">
        <v>21</v>
      </c>
      <c r="E79" s="2" t="s">
        <v>106</v>
      </c>
      <c r="F79" s="2">
        <v>4</v>
      </c>
      <c r="G79" s="2">
        <v>2206</v>
      </c>
      <c r="H79" s="2">
        <v>8824</v>
      </c>
      <c r="I79" s="2" t="s">
        <v>34</v>
      </c>
      <c r="J79" s="2" t="s">
        <v>91</v>
      </c>
      <c r="K79" s="2">
        <v>4</v>
      </c>
      <c r="L79" s="2">
        <f>COUNTIF(TableTransections[[#All],[Customer ID]],TableTransections[[#This Row],[Customer ID]])</f>
        <v>2</v>
      </c>
    </row>
    <row r="80" spans="1:12" x14ac:dyDescent="0.3">
      <c r="A80" s="2" t="s">
        <v>249</v>
      </c>
      <c r="B80" s="2" t="s">
        <v>176</v>
      </c>
      <c r="C80" s="2" t="s">
        <v>250</v>
      </c>
      <c r="D80" s="2" t="s">
        <v>21</v>
      </c>
      <c r="E80" s="2" t="s">
        <v>33</v>
      </c>
      <c r="F80" s="2">
        <v>6</v>
      </c>
      <c r="G80" s="2">
        <v>13040</v>
      </c>
      <c r="H80" s="2">
        <v>78240</v>
      </c>
      <c r="I80" s="2" t="s">
        <v>34</v>
      </c>
      <c r="J80" s="2" t="s">
        <v>91</v>
      </c>
      <c r="K80" s="2">
        <v>3</v>
      </c>
      <c r="L80" s="2">
        <f>COUNTIF(TableTransections[[#All],[Customer ID]],TableTransections[[#This Row],[Customer ID]])</f>
        <v>4</v>
      </c>
    </row>
    <row r="81" spans="1:12" x14ac:dyDescent="0.3">
      <c r="A81" s="2" t="s">
        <v>251</v>
      </c>
      <c r="B81" s="2" t="s">
        <v>198</v>
      </c>
      <c r="C81" s="2" t="s">
        <v>252</v>
      </c>
      <c r="D81" s="2" t="s">
        <v>27</v>
      </c>
      <c r="E81" s="2" t="s">
        <v>102</v>
      </c>
      <c r="F81" s="2">
        <v>4</v>
      </c>
      <c r="G81" s="2">
        <v>17932</v>
      </c>
      <c r="H81" s="2">
        <v>71728</v>
      </c>
      <c r="I81" s="2" t="s">
        <v>34</v>
      </c>
      <c r="J81" s="2" t="s">
        <v>52</v>
      </c>
      <c r="K81" s="2">
        <v>2</v>
      </c>
      <c r="L81" s="2">
        <f>COUNTIF(TableTransections[[#All],[Customer ID]],TableTransections[[#This Row],[Customer ID]])</f>
        <v>4</v>
      </c>
    </row>
    <row r="82" spans="1:12" x14ac:dyDescent="0.3">
      <c r="A82" s="2" t="s">
        <v>253</v>
      </c>
      <c r="B82" s="2" t="s">
        <v>135</v>
      </c>
      <c r="C82" s="2" t="s">
        <v>139</v>
      </c>
      <c r="D82" s="2" t="s">
        <v>27</v>
      </c>
      <c r="E82" s="2" t="s">
        <v>102</v>
      </c>
      <c r="F82" s="2">
        <v>3</v>
      </c>
      <c r="G82" s="2">
        <v>23864</v>
      </c>
      <c r="H82" s="2">
        <v>71592</v>
      </c>
      <c r="I82" s="2" t="s">
        <v>64</v>
      </c>
      <c r="J82" s="2" t="s">
        <v>65</v>
      </c>
      <c r="K82" s="2">
        <v>4</v>
      </c>
      <c r="L82" s="2">
        <f>COUNTIF(TableTransections[[#All],[Customer ID]],TableTransections[[#This Row],[Customer ID]])</f>
        <v>5</v>
      </c>
    </row>
    <row r="83" spans="1:12" x14ac:dyDescent="0.3">
      <c r="A83" s="2" t="s">
        <v>254</v>
      </c>
      <c r="B83" s="2" t="s">
        <v>255</v>
      </c>
      <c r="C83" s="2" t="s">
        <v>256</v>
      </c>
      <c r="D83" s="2" t="s">
        <v>56</v>
      </c>
      <c r="E83" s="2" t="s">
        <v>57</v>
      </c>
      <c r="F83" s="2">
        <v>7</v>
      </c>
      <c r="G83" s="2">
        <v>24233</v>
      </c>
      <c r="H83" s="2">
        <v>169631</v>
      </c>
      <c r="I83" s="2" t="s">
        <v>23</v>
      </c>
      <c r="J83" s="2" t="s">
        <v>35</v>
      </c>
      <c r="K83" s="2">
        <v>2</v>
      </c>
      <c r="L83" s="2">
        <f>COUNTIF(TableTransections[[#All],[Customer ID]],TableTransections[[#This Row],[Customer ID]])</f>
        <v>6</v>
      </c>
    </row>
    <row r="84" spans="1:12" x14ac:dyDescent="0.3">
      <c r="A84" s="2" t="s">
        <v>257</v>
      </c>
      <c r="B84" s="2" t="s">
        <v>138</v>
      </c>
      <c r="C84" s="2" t="s">
        <v>258</v>
      </c>
      <c r="D84" s="2" t="s">
        <v>21</v>
      </c>
      <c r="E84" s="2" t="s">
        <v>22</v>
      </c>
      <c r="F84" s="2">
        <v>10</v>
      </c>
      <c r="G84" s="2">
        <v>27060</v>
      </c>
      <c r="H84" s="2">
        <v>270600</v>
      </c>
      <c r="I84" s="2" t="s">
        <v>64</v>
      </c>
      <c r="J84" s="2" t="s">
        <v>35</v>
      </c>
      <c r="K84" s="2">
        <v>5</v>
      </c>
      <c r="L84" s="2">
        <f>COUNTIF(TableTransections[[#All],[Customer ID]],TableTransections[[#This Row],[Customer ID]])</f>
        <v>3</v>
      </c>
    </row>
    <row r="85" spans="1:12" x14ac:dyDescent="0.3">
      <c r="A85" s="2" t="s">
        <v>259</v>
      </c>
      <c r="B85" s="2" t="s">
        <v>93</v>
      </c>
      <c r="C85" s="2" t="s">
        <v>260</v>
      </c>
      <c r="D85" s="2" t="s">
        <v>14</v>
      </c>
      <c r="E85" s="2" t="s">
        <v>167</v>
      </c>
      <c r="F85" s="2">
        <v>5</v>
      </c>
      <c r="G85" s="2">
        <v>19068</v>
      </c>
      <c r="H85" s="2">
        <v>95340</v>
      </c>
      <c r="I85" s="2" t="s">
        <v>48</v>
      </c>
      <c r="J85" s="2" t="s">
        <v>70</v>
      </c>
      <c r="K85" s="2">
        <v>3</v>
      </c>
      <c r="L85" s="2">
        <f>COUNTIF(TableTransections[[#All],[Customer ID]],TableTransections[[#This Row],[Customer ID]])</f>
        <v>6</v>
      </c>
    </row>
    <row r="86" spans="1:12" x14ac:dyDescent="0.3">
      <c r="A86" s="2" t="s">
        <v>261</v>
      </c>
      <c r="B86" s="2" t="s">
        <v>262</v>
      </c>
      <c r="C86" s="2" t="s">
        <v>183</v>
      </c>
      <c r="D86" s="2" t="s">
        <v>14</v>
      </c>
      <c r="E86" s="2" t="s">
        <v>140</v>
      </c>
      <c r="F86" s="2">
        <v>7</v>
      </c>
      <c r="G86" s="2">
        <v>9428</v>
      </c>
      <c r="H86" s="2">
        <v>65996</v>
      </c>
      <c r="I86" s="2" t="s">
        <v>16</v>
      </c>
      <c r="J86" s="2" t="s">
        <v>150</v>
      </c>
      <c r="K86" s="2">
        <v>3</v>
      </c>
      <c r="L86" s="2">
        <f>COUNTIF(TableTransections[[#All],[Customer ID]],TableTransections[[#This Row],[Customer ID]])</f>
        <v>1</v>
      </c>
    </row>
    <row r="87" spans="1:12" x14ac:dyDescent="0.3">
      <c r="A87" s="2" t="s">
        <v>263</v>
      </c>
      <c r="B87" s="2" t="s">
        <v>31</v>
      </c>
      <c r="C87" s="2" t="s">
        <v>264</v>
      </c>
      <c r="D87" s="2" t="s">
        <v>56</v>
      </c>
      <c r="E87" s="2" t="s">
        <v>133</v>
      </c>
      <c r="F87" s="2">
        <v>4</v>
      </c>
      <c r="G87" s="2">
        <v>29354</v>
      </c>
      <c r="H87" s="2">
        <v>117416</v>
      </c>
      <c r="I87" s="2" t="s">
        <v>23</v>
      </c>
      <c r="J87" s="2" t="s">
        <v>136</v>
      </c>
      <c r="K87" s="2">
        <v>5</v>
      </c>
      <c r="L87" s="2">
        <f>COUNTIF(TableTransections[[#All],[Customer ID]],TableTransections[[#This Row],[Customer ID]])</f>
        <v>5</v>
      </c>
    </row>
    <row r="88" spans="1:12" x14ac:dyDescent="0.3">
      <c r="A88" s="2" t="s">
        <v>265</v>
      </c>
      <c r="B88" s="2" t="s">
        <v>169</v>
      </c>
      <c r="C88" s="2" t="s">
        <v>266</v>
      </c>
      <c r="D88" s="2" t="s">
        <v>14</v>
      </c>
      <c r="E88" s="2" t="s">
        <v>15</v>
      </c>
      <c r="F88" s="2">
        <v>1</v>
      </c>
      <c r="G88" s="2">
        <v>4607</v>
      </c>
      <c r="H88" s="2">
        <v>4607</v>
      </c>
      <c r="I88" s="2" t="s">
        <v>34</v>
      </c>
      <c r="J88" s="2" t="s">
        <v>136</v>
      </c>
      <c r="K88" s="2">
        <v>2</v>
      </c>
      <c r="L88" s="2">
        <f>COUNTIF(TableTransections[[#All],[Customer ID]],TableTransections[[#This Row],[Customer ID]])</f>
        <v>3</v>
      </c>
    </row>
    <row r="89" spans="1:12" x14ac:dyDescent="0.3">
      <c r="A89" s="2" t="s">
        <v>267</v>
      </c>
      <c r="B89" s="2" t="s">
        <v>117</v>
      </c>
      <c r="C89" s="2" t="s">
        <v>164</v>
      </c>
      <c r="D89" s="2" t="s">
        <v>21</v>
      </c>
      <c r="E89" s="2" t="s">
        <v>149</v>
      </c>
      <c r="F89" s="2">
        <v>1</v>
      </c>
      <c r="G89" s="2">
        <v>25205</v>
      </c>
      <c r="H89" s="2">
        <v>25205</v>
      </c>
      <c r="I89" s="2" t="s">
        <v>48</v>
      </c>
      <c r="J89" s="2" t="s">
        <v>70</v>
      </c>
      <c r="K89" s="2">
        <v>5</v>
      </c>
      <c r="L89" s="2">
        <f>COUNTIF(TableTransections[[#All],[Customer ID]],TableTransections[[#This Row],[Customer ID]])</f>
        <v>4</v>
      </c>
    </row>
    <row r="90" spans="1:12" x14ac:dyDescent="0.3">
      <c r="A90" s="2" t="s">
        <v>268</v>
      </c>
      <c r="B90" s="2" t="s">
        <v>93</v>
      </c>
      <c r="C90" s="2" t="s">
        <v>143</v>
      </c>
      <c r="D90" s="2" t="s">
        <v>42</v>
      </c>
      <c r="E90" s="2" t="s">
        <v>60</v>
      </c>
      <c r="F90" s="2">
        <v>5</v>
      </c>
      <c r="G90" s="2">
        <v>20803</v>
      </c>
      <c r="H90" s="2">
        <v>104015</v>
      </c>
      <c r="I90" s="2" t="s">
        <v>23</v>
      </c>
      <c r="J90" s="2" t="s">
        <v>44</v>
      </c>
      <c r="K90" s="2">
        <v>5</v>
      </c>
      <c r="L90" s="2">
        <f>COUNTIF(TableTransections[[#All],[Customer ID]],TableTransections[[#This Row],[Customer ID]])</f>
        <v>6</v>
      </c>
    </row>
    <row r="91" spans="1:12" x14ac:dyDescent="0.3">
      <c r="A91" s="2" t="s">
        <v>269</v>
      </c>
      <c r="B91" s="2" t="s">
        <v>270</v>
      </c>
      <c r="C91" s="2" t="s">
        <v>271</v>
      </c>
      <c r="D91" s="2" t="s">
        <v>27</v>
      </c>
      <c r="E91" s="2" t="s">
        <v>28</v>
      </c>
      <c r="F91" s="2">
        <v>9</v>
      </c>
      <c r="G91" s="2">
        <v>18433</v>
      </c>
      <c r="H91" s="2">
        <v>165897</v>
      </c>
      <c r="I91" s="2" t="s">
        <v>64</v>
      </c>
      <c r="J91" s="2" t="s">
        <v>136</v>
      </c>
      <c r="K91" s="2">
        <v>1</v>
      </c>
      <c r="L91" s="2">
        <f>COUNTIF(TableTransections[[#All],[Customer ID]],TableTransections[[#This Row],[Customer ID]])</f>
        <v>3</v>
      </c>
    </row>
    <row r="92" spans="1:12" x14ac:dyDescent="0.3">
      <c r="A92" s="2" t="s">
        <v>272</v>
      </c>
      <c r="B92" s="2" t="s">
        <v>273</v>
      </c>
      <c r="C92" s="2" t="s">
        <v>274</v>
      </c>
      <c r="D92" s="2" t="s">
        <v>14</v>
      </c>
      <c r="E92" s="2" t="s">
        <v>167</v>
      </c>
      <c r="F92" s="2">
        <v>10</v>
      </c>
      <c r="G92" s="2">
        <v>9598</v>
      </c>
      <c r="H92" s="2">
        <v>95980</v>
      </c>
      <c r="I92" s="2" t="s">
        <v>64</v>
      </c>
      <c r="J92" s="2" t="s">
        <v>52</v>
      </c>
      <c r="K92" s="2">
        <v>1</v>
      </c>
      <c r="L92" s="2">
        <f>COUNTIF(TableTransections[[#All],[Customer ID]],TableTransections[[#This Row],[Customer ID]])</f>
        <v>3</v>
      </c>
    </row>
    <row r="93" spans="1:12" x14ac:dyDescent="0.3">
      <c r="A93" s="2" t="s">
        <v>275</v>
      </c>
      <c r="B93" s="2" t="s">
        <v>276</v>
      </c>
      <c r="C93" s="2" t="s">
        <v>277</v>
      </c>
      <c r="D93" s="2" t="s">
        <v>56</v>
      </c>
      <c r="E93" s="2" t="s">
        <v>78</v>
      </c>
      <c r="F93" s="2">
        <v>6</v>
      </c>
      <c r="G93" s="2">
        <v>13833</v>
      </c>
      <c r="H93" s="2">
        <v>82998</v>
      </c>
      <c r="I93" s="2" t="s">
        <v>34</v>
      </c>
      <c r="J93" s="2" t="s">
        <v>65</v>
      </c>
      <c r="K93" s="2">
        <v>5</v>
      </c>
      <c r="L93" s="2">
        <f>COUNTIF(TableTransections[[#All],[Customer ID]],TableTransections[[#This Row],[Customer ID]])</f>
        <v>4</v>
      </c>
    </row>
    <row r="94" spans="1:12" x14ac:dyDescent="0.3">
      <c r="A94" s="2" t="s">
        <v>278</v>
      </c>
      <c r="B94" s="2" t="s">
        <v>237</v>
      </c>
      <c r="C94" s="2" t="s">
        <v>108</v>
      </c>
      <c r="D94" s="2" t="s">
        <v>14</v>
      </c>
      <c r="E94" s="2" t="s">
        <v>15</v>
      </c>
      <c r="F94" s="2">
        <v>5</v>
      </c>
      <c r="G94" s="2">
        <v>14413</v>
      </c>
      <c r="H94" s="2">
        <v>72065</v>
      </c>
      <c r="I94" s="2" t="s">
        <v>34</v>
      </c>
      <c r="J94" s="2" t="s">
        <v>91</v>
      </c>
      <c r="K94" s="2">
        <v>3</v>
      </c>
      <c r="L94" s="2">
        <f>COUNTIF(TableTransections[[#All],[Customer ID]],TableTransections[[#This Row],[Customer ID]])</f>
        <v>4</v>
      </c>
    </row>
    <row r="95" spans="1:12" x14ac:dyDescent="0.3">
      <c r="A95" s="2" t="s">
        <v>279</v>
      </c>
      <c r="B95" s="2" t="s">
        <v>114</v>
      </c>
      <c r="C95" s="2" t="s">
        <v>111</v>
      </c>
      <c r="D95" s="2" t="s">
        <v>21</v>
      </c>
      <c r="E95" s="2" t="s">
        <v>33</v>
      </c>
      <c r="F95" s="2">
        <v>1</v>
      </c>
      <c r="G95" s="2">
        <v>25952</v>
      </c>
      <c r="H95" s="2">
        <v>25952</v>
      </c>
      <c r="I95" s="2" t="s">
        <v>23</v>
      </c>
      <c r="J95" s="2" t="s">
        <v>70</v>
      </c>
      <c r="K95" s="2">
        <v>2</v>
      </c>
      <c r="L95" s="2">
        <f>COUNTIF(TableTransections[[#All],[Customer ID]],TableTransections[[#This Row],[Customer ID]])</f>
        <v>6</v>
      </c>
    </row>
    <row r="96" spans="1:12" x14ac:dyDescent="0.3">
      <c r="A96" s="2" t="s">
        <v>280</v>
      </c>
      <c r="B96" s="2" t="s">
        <v>281</v>
      </c>
      <c r="C96" s="2" t="s">
        <v>282</v>
      </c>
      <c r="D96" s="2" t="s">
        <v>42</v>
      </c>
      <c r="E96" s="2" t="s">
        <v>184</v>
      </c>
      <c r="F96" s="2">
        <v>3</v>
      </c>
      <c r="G96" s="2">
        <v>1243</v>
      </c>
      <c r="H96" s="2">
        <v>3729</v>
      </c>
      <c r="I96" s="2" t="s">
        <v>23</v>
      </c>
      <c r="J96" s="2" t="s">
        <v>35</v>
      </c>
      <c r="K96" s="2">
        <v>3</v>
      </c>
      <c r="L96" s="2">
        <f>COUNTIF(TableTransections[[#All],[Customer ID]],TableTransections[[#This Row],[Customer ID]])</f>
        <v>3</v>
      </c>
    </row>
    <row r="97" spans="1:12" x14ac:dyDescent="0.3">
      <c r="A97" s="2" t="s">
        <v>283</v>
      </c>
      <c r="B97" s="2" t="s">
        <v>104</v>
      </c>
      <c r="C97" s="2" t="s">
        <v>284</v>
      </c>
      <c r="D97" s="2" t="s">
        <v>27</v>
      </c>
      <c r="E97" s="2" t="s">
        <v>28</v>
      </c>
      <c r="F97" s="2">
        <v>5</v>
      </c>
      <c r="G97" s="2">
        <v>17516</v>
      </c>
      <c r="H97" s="2">
        <v>87580</v>
      </c>
      <c r="I97" s="2" t="s">
        <v>34</v>
      </c>
      <c r="J97" s="2" t="s">
        <v>17</v>
      </c>
      <c r="K97" s="2">
        <v>5</v>
      </c>
      <c r="L97" s="2">
        <f>COUNTIF(TableTransections[[#All],[Customer ID]],TableTransections[[#This Row],[Customer ID]])</f>
        <v>3</v>
      </c>
    </row>
    <row r="98" spans="1:12" x14ac:dyDescent="0.3">
      <c r="A98" s="2" t="s">
        <v>285</v>
      </c>
      <c r="B98" s="2" t="s">
        <v>276</v>
      </c>
      <c r="C98" s="2" t="s">
        <v>286</v>
      </c>
      <c r="D98" s="2" t="s">
        <v>21</v>
      </c>
      <c r="E98" s="2" t="s">
        <v>33</v>
      </c>
      <c r="F98" s="2">
        <v>8</v>
      </c>
      <c r="G98" s="2">
        <v>279</v>
      </c>
      <c r="H98" s="2">
        <v>2232</v>
      </c>
      <c r="I98" s="2" t="s">
        <v>64</v>
      </c>
      <c r="J98" s="2" t="s">
        <v>29</v>
      </c>
      <c r="K98" s="2">
        <v>1</v>
      </c>
      <c r="L98" s="2">
        <f>COUNTIF(TableTransections[[#All],[Customer ID]],TableTransections[[#This Row],[Customer ID]])</f>
        <v>4</v>
      </c>
    </row>
    <row r="99" spans="1:12" x14ac:dyDescent="0.3">
      <c r="A99" s="2" t="s">
        <v>287</v>
      </c>
      <c r="B99" s="2" t="s">
        <v>72</v>
      </c>
      <c r="C99" s="2" t="s">
        <v>288</v>
      </c>
      <c r="D99" s="2" t="s">
        <v>42</v>
      </c>
      <c r="E99" s="2" t="s">
        <v>60</v>
      </c>
      <c r="F99" s="2">
        <v>8</v>
      </c>
      <c r="G99" s="2">
        <v>25760</v>
      </c>
      <c r="H99" s="2">
        <v>206080</v>
      </c>
      <c r="I99" s="2" t="s">
        <v>64</v>
      </c>
      <c r="J99" s="2" t="s">
        <v>91</v>
      </c>
      <c r="K99" s="2">
        <v>4</v>
      </c>
      <c r="L99" s="2">
        <f>COUNTIF(TableTransections[[#All],[Customer ID]],TableTransections[[#This Row],[Customer ID]])</f>
        <v>5</v>
      </c>
    </row>
    <row r="100" spans="1:12" x14ac:dyDescent="0.3">
      <c r="A100" s="2" t="s">
        <v>289</v>
      </c>
      <c r="B100" s="2" t="s">
        <v>290</v>
      </c>
      <c r="C100" s="2" t="s">
        <v>250</v>
      </c>
      <c r="D100" s="2" t="s">
        <v>27</v>
      </c>
      <c r="E100" s="2" t="s">
        <v>87</v>
      </c>
      <c r="F100" s="2">
        <v>6</v>
      </c>
      <c r="G100" s="2">
        <v>229</v>
      </c>
      <c r="H100" s="2">
        <v>1374</v>
      </c>
      <c r="I100" s="2" t="s">
        <v>23</v>
      </c>
      <c r="J100" s="2" t="s">
        <v>44</v>
      </c>
      <c r="K100" s="2">
        <v>2</v>
      </c>
      <c r="L100" s="2">
        <f>COUNTIF(TableTransections[[#All],[Customer ID]],TableTransections[[#This Row],[Customer ID]])</f>
        <v>1</v>
      </c>
    </row>
    <row r="101" spans="1:12" x14ac:dyDescent="0.3">
      <c r="A101" s="2" t="s">
        <v>291</v>
      </c>
      <c r="B101" s="2" t="s">
        <v>110</v>
      </c>
      <c r="C101" s="2" t="s">
        <v>292</v>
      </c>
      <c r="D101" s="2" t="s">
        <v>56</v>
      </c>
      <c r="E101" s="2" t="s">
        <v>57</v>
      </c>
      <c r="F101" s="2">
        <v>7</v>
      </c>
      <c r="G101" s="2">
        <v>28224</v>
      </c>
      <c r="H101" s="2">
        <v>197568</v>
      </c>
      <c r="I101" s="2" t="s">
        <v>64</v>
      </c>
      <c r="J101" s="2" t="s">
        <v>52</v>
      </c>
      <c r="K101" s="2">
        <v>3</v>
      </c>
      <c r="L101" s="2">
        <f>COUNTIF(TableTransections[[#All],[Customer ID]],TableTransections[[#This Row],[Customer ID]])</f>
        <v>2</v>
      </c>
    </row>
    <row r="102" spans="1:12" x14ac:dyDescent="0.3">
      <c r="A102" s="2" t="s">
        <v>293</v>
      </c>
      <c r="B102" s="2" t="s">
        <v>114</v>
      </c>
      <c r="C102" s="2" t="s">
        <v>153</v>
      </c>
      <c r="D102" s="2" t="s">
        <v>56</v>
      </c>
      <c r="E102" s="2" t="s">
        <v>178</v>
      </c>
      <c r="F102" s="2">
        <v>8</v>
      </c>
      <c r="G102" s="2">
        <v>7376</v>
      </c>
      <c r="H102" s="2">
        <v>59008</v>
      </c>
      <c r="I102" s="2" t="s">
        <v>16</v>
      </c>
      <c r="J102" s="2" t="s">
        <v>17</v>
      </c>
      <c r="K102" s="2">
        <v>3</v>
      </c>
      <c r="L102" s="2">
        <f>COUNTIF(TableTransections[[#All],[Customer ID]],TableTransections[[#This Row],[Customer ID]])</f>
        <v>6</v>
      </c>
    </row>
    <row r="103" spans="1:12" x14ac:dyDescent="0.3">
      <c r="A103" s="2" t="s">
        <v>294</v>
      </c>
      <c r="B103" s="2" t="s">
        <v>148</v>
      </c>
      <c r="C103" s="2" t="s">
        <v>156</v>
      </c>
      <c r="D103" s="2" t="s">
        <v>14</v>
      </c>
      <c r="E103" s="2" t="s">
        <v>69</v>
      </c>
      <c r="F103" s="2">
        <v>8</v>
      </c>
      <c r="G103" s="2">
        <v>15405</v>
      </c>
      <c r="H103" s="2">
        <v>123240</v>
      </c>
      <c r="I103" s="2" t="s">
        <v>64</v>
      </c>
      <c r="J103" s="2" t="s">
        <v>17</v>
      </c>
      <c r="K103" s="2">
        <v>5</v>
      </c>
      <c r="L103" s="2">
        <f>COUNTIF(TableTransections[[#All],[Customer ID]],TableTransections[[#This Row],[Customer ID]])</f>
        <v>3</v>
      </c>
    </row>
    <row r="104" spans="1:12" x14ac:dyDescent="0.3">
      <c r="A104" s="2" t="s">
        <v>295</v>
      </c>
      <c r="B104" s="2" t="s">
        <v>296</v>
      </c>
      <c r="C104" s="2" t="s">
        <v>297</v>
      </c>
      <c r="D104" s="2" t="s">
        <v>27</v>
      </c>
      <c r="E104" s="2" t="s">
        <v>87</v>
      </c>
      <c r="F104" s="2">
        <v>4</v>
      </c>
      <c r="G104" s="2">
        <v>796</v>
      </c>
      <c r="H104" s="2">
        <v>3184</v>
      </c>
      <c r="I104" s="2" t="s">
        <v>16</v>
      </c>
      <c r="J104" s="2" t="s">
        <v>136</v>
      </c>
      <c r="K104" s="2">
        <v>5</v>
      </c>
      <c r="L104" s="2">
        <f>COUNTIF(TableTransections[[#All],[Customer ID]],TableTransections[[#This Row],[Customer ID]])</f>
        <v>3</v>
      </c>
    </row>
    <row r="105" spans="1:12" x14ac:dyDescent="0.3">
      <c r="A105" s="2" t="s">
        <v>298</v>
      </c>
      <c r="B105" s="2" t="s">
        <v>299</v>
      </c>
      <c r="C105" s="2" t="s">
        <v>84</v>
      </c>
      <c r="D105" s="2" t="s">
        <v>56</v>
      </c>
      <c r="E105" s="2" t="s">
        <v>178</v>
      </c>
      <c r="F105" s="2">
        <v>4</v>
      </c>
      <c r="G105" s="2">
        <v>22366</v>
      </c>
      <c r="H105" s="2">
        <v>89464</v>
      </c>
      <c r="I105" s="2" t="s">
        <v>16</v>
      </c>
      <c r="J105" s="2" t="s">
        <v>44</v>
      </c>
      <c r="K105" s="2">
        <v>2</v>
      </c>
      <c r="L105" s="2">
        <f>COUNTIF(TableTransections[[#All],[Customer ID]],TableTransections[[#This Row],[Customer ID]])</f>
        <v>4</v>
      </c>
    </row>
    <row r="106" spans="1:12" x14ac:dyDescent="0.3">
      <c r="A106" s="2" t="s">
        <v>300</v>
      </c>
      <c r="B106" s="2" t="s">
        <v>255</v>
      </c>
      <c r="C106" s="2" t="s">
        <v>301</v>
      </c>
      <c r="D106" s="2" t="s">
        <v>56</v>
      </c>
      <c r="E106" s="2" t="s">
        <v>178</v>
      </c>
      <c r="F106" s="2">
        <v>5</v>
      </c>
      <c r="G106" s="2">
        <v>13927</v>
      </c>
      <c r="H106" s="2">
        <v>69635</v>
      </c>
      <c r="I106" s="2" t="s">
        <v>48</v>
      </c>
      <c r="J106" s="2" t="s">
        <v>52</v>
      </c>
      <c r="K106" s="2">
        <v>1</v>
      </c>
      <c r="L106" s="2">
        <f>COUNTIF(TableTransections[[#All],[Customer ID]],TableTransections[[#This Row],[Customer ID]])</f>
        <v>6</v>
      </c>
    </row>
    <row r="107" spans="1:12" x14ac:dyDescent="0.3">
      <c r="A107" s="2" t="s">
        <v>302</v>
      </c>
      <c r="B107" s="2" t="s">
        <v>216</v>
      </c>
      <c r="C107" s="2" t="s">
        <v>274</v>
      </c>
      <c r="D107" s="2" t="s">
        <v>56</v>
      </c>
      <c r="E107" s="2" t="s">
        <v>57</v>
      </c>
      <c r="F107" s="2">
        <v>10</v>
      </c>
      <c r="G107" s="2">
        <v>26215</v>
      </c>
      <c r="H107" s="2">
        <v>262150</v>
      </c>
      <c r="I107" s="2" t="s">
        <v>64</v>
      </c>
      <c r="J107" s="2" t="s">
        <v>17</v>
      </c>
      <c r="K107" s="2">
        <v>5</v>
      </c>
      <c r="L107" s="2">
        <f>COUNTIF(TableTransections[[#All],[Customer ID]],TableTransections[[#This Row],[Customer ID]])</f>
        <v>2</v>
      </c>
    </row>
    <row r="108" spans="1:12" x14ac:dyDescent="0.3">
      <c r="A108" s="2" t="s">
        <v>303</v>
      </c>
      <c r="B108" s="2" t="s">
        <v>304</v>
      </c>
      <c r="C108" s="2" t="s">
        <v>159</v>
      </c>
      <c r="D108" s="2" t="s">
        <v>27</v>
      </c>
      <c r="E108" s="2" t="s">
        <v>102</v>
      </c>
      <c r="F108" s="2">
        <v>8</v>
      </c>
      <c r="G108" s="2">
        <v>24675</v>
      </c>
      <c r="H108" s="2">
        <v>197400</v>
      </c>
      <c r="I108" s="2" t="s">
        <v>16</v>
      </c>
      <c r="J108" s="2" t="s">
        <v>91</v>
      </c>
      <c r="K108" s="2">
        <v>3</v>
      </c>
      <c r="L108" s="2">
        <f>COUNTIF(TableTransections[[#All],[Customer ID]],TableTransections[[#This Row],[Customer ID]])</f>
        <v>2</v>
      </c>
    </row>
    <row r="109" spans="1:12" x14ac:dyDescent="0.3">
      <c r="A109" s="2" t="s">
        <v>305</v>
      </c>
      <c r="B109" s="2" t="s">
        <v>59</v>
      </c>
      <c r="C109" s="2" t="s">
        <v>306</v>
      </c>
      <c r="D109" s="2" t="s">
        <v>14</v>
      </c>
      <c r="E109" s="2" t="s">
        <v>140</v>
      </c>
      <c r="F109" s="2">
        <v>8</v>
      </c>
      <c r="G109" s="2">
        <v>4912</v>
      </c>
      <c r="H109" s="2">
        <v>39296</v>
      </c>
      <c r="I109" s="2" t="s">
        <v>48</v>
      </c>
      <c r="J109" s="2" t="s">
        <v>35</v>
      </c>
      <c r="K109" s="2">
        <v>2</v>
      </c>
      <c r="L109" s="2">
        <f>COUNTIF(TableTransections[[#All],[Customer ID]],TableTransections[[#This Row],[Customer ID]])</f>
        <v>3</v>
      </c>
    </row>
    <row r="110" spans="1:12" x14ac:dyDescent="0.3">
      <c r="A110" s="2" t="s">
        <v>307</v>
      </c>
      <c r="B110" s="2" t="s">
        <v>163</v>
      </c>
      <c r="C110" s="2" t="s">
        <v>308</v>
      </c>
      <c r="D110" s="2" t="s">
        <v>21</v>
      </c>
      <c r="E110" s="2" t="s">
        <v>106</v>
      </c>
      <c r="F110" s="2">
        <v>4</v>
      </c>
      <c r="G110" s="2">
        <v>23182</v>
      </c>
      <c r="H110" s="2">
        <v>92728</v>
      </c>
      <c r="I110" s="2" t="s">
        <v>34</v>
      </c>
      <c r="J110" s="2" t="s">
        <v>136</v>
      </c>
      <c r="K110" s="2">
        <v>1</v>
      </c>
      <c r="L110" s="2">
        <f>COUNTIF(TableTransections[[#All],[Customer ID]],TableTransections[[#This Row],[Customer ID]])</f>
        <v>6</v>
      </c>
    </row>
    <row r="111" spans="1:12" x14ac:dyDescent="0.3">
      <c r="A111" s="2" t="s">
        <v>309</v>
      </c>
      <c r="B111" s="2" t="s">
        <v>142</v>
      </c>
      <c r="C111" s="2" t="s">
        <v>310</v>
      </c>
      <c r="D111" s="2" t="s">
        <v>14</v>
      </c>
      <c r="E111" s="2" t="s">
        <v>140</v>
      </c>
      <c r="F111" s="2">
        <v>6</v>
      </c>
      <c r="G111" s="2">
        <v>10278</v>
      </c>
      <c r="H111" s="2">
        <v>61668</v>
      </c>
      <c r="I111" s="2" t="s">
        <v>34</v>
      </c>
      <c r="J111" s="2" t="s">
        <v>44</v>
      </c>
      <c r="K111" s="2">
        <v>3</v>
      </c>
      <c r="L111" s="2">
        <f>COUNTIF(TableTransections[[#All],[Customer ID]],TableTransections[[#This Row],[Customer ID]])</f>
        <v>3</v>
      </c>
    </row>
    <row r="112" spans="1:12" x14ac:dyDescent="0.3">
      <c r="A112" s="2" t="s">
        <v>311</v>
      </c>
      <c r="B112" s="2" t="s">
        <v>312</v>
      </c>
      <c r="C112" s="2" t="s">
        <v>313</v>
      </c>
      <c r="D112" s="2" t="s">
        <v>56</v>
      </c>
      <c r="E112" s="2" t="s">
        <v>133</v>
      </c>
      <c r="F112" s="2">
        <v>5</v>
      </c>
      <c r="G112" s="2">
        <v>6672</v>
      </c>
      <c r="H112" s="2">
        <v>33360</v>
      </c>
      <c r="I112" s="2" t="s">
        <v>48</v>
      </c>
      <c r="J112" s="2" t="s">
        <v>136</v>
      </c>
      <c r="K112" s="2">
        <v>5</v>
      </c>
      <c r="L112" s="2">
        <f>COUNTIF(TableTransections[[#All],[Customer ID]],TableTransections[[#This Row],[Customer ID]])</f>
        <v>4</v>
      </c>
    </row>
    <row r="113" spans="1:12" x14ac:dyDescent="0.3">
      <c r="A113" s="2" t="s">
        <v>314</v>
      </c>
      <c r="B113" s="2" t="s">
        <v>232</v>
      </c>
      <c r="C113" s="2" t="s">
        <v>306</v>
      </c>
      <c r="D113" s="2" t="s">
        <v>27</v>
      </c>
      <c r="E113" s="2" t="s">
        <v>28</v>
      </c>
      <c r="F113" s="2">
        <v>6</v>
      </c>
      <c r="G113" s="2">
        <v>6928</v>
      </c>
      <c r="H113" s="2">
        <v>41568</v>
      </c>
      <c r="I113" s="2" t="s">
        <v>64</v>
      </c>
      <c r="J113" s="2" t="s">
        <v>52</v>
      </c>
      <c r="K113" s="2">
        <v>4</v>
      </c>
      <c r="L113" s="2">
        <f>COUNTIF(TableTransections[[#All],[Customer ID]],TableTransections[[#This Row],[Customer ID]])</f>
        <v>3</v>
      </c>
    </row>
    <row r="114" spans="1:12" x14ac:dyDescent="0.3">
      <c r="A114" s="2" t="s">
        <v>315</v>
      </c>
      <c r="B114" s="2" t="s">
        <v>205</v>
      </c>
      <c r="C114" s="2" t="s">
        <v>316</v>
      </c>
      <c r="D114" s="2" t="s">
        <v>21</v>
      </c>
      <c r="E114" s="2" t="s">
        <v>22</v>
      </c>
      <c r="F114" s="2">
        <v>9</v>
      </c>
      <c r="G114" s="2">
        <v>10761</v>
      </c>
      <c r="H114" s="2">
        <v>96849</v>
      </c>
      <c r="I114" s="2" t="s">
        <v>64</v>
      </c>
      <c r="J114" s="2" t="s">
        <v>17</v>
      </c>
      <c r="K114" s="2">
        <v>2</v>
      </c>
      <c r="L114" s="2">
        <f>COUNTIF(TableTransections[[#All],[Customer ID]],TableTransections[[#This Row],[Customer ID]])</f>
        <v>3</v>
      </c>
    </row>
    <row r="115" spans="1:12" x14ac:dyDescent="0.3">
      <c r="A115" s="2" t="s">
        <v>317</v>
      </c>
      <c r="B115" s="2" t="s">
        <v>318</v>
      </c>
      <c r="C115" s="2" t="s">
        <v>319</v>
      </c>
      <c r="D115" s="2" t="s">
        <v>21</v>
      </c>
      <c r="E115" s="2" t="s">
        <v>74</v>
      </c>
      <c r="F115" s="2">
        <v>1</v>
      </c>
      <c r="G115" s="2">
        <v>13731</v>
      </c>
      <c r="H115" s="2">
        <v>13731</v>
      </c>
      <c r="I115" s="2" t="s">
        <v>64</v>
      </c>
      <c r="J115" s="2" t="s">
        <v>65</v>
      </c>
      <c r="K115" s="2">
        <v>4</v>
      </c>
      <c r="L115" s="2">
        <f>COUNTIF(TableTransections[[#All],[Customer ID]],TableTransections[[#This Row],[Customer ID]])</f>
        <v>1</v>
      </c>
    </row>
    <row r="116" spans="1:12" x14ac:dyDescent="0.3">
      <c r="A116" s="2" t="s">
        <v>320</v>
      </c>
      <c r="B116" s="2" t="s">
        <v>114</v>
      </c>
      <c r="C116" s="2" t="s">
        <v>115</v>
      </c>
      <c r="D116" s="2" t="s">
        <v>27</v>
      </c>
      <c r="E116" s="2" t="s">
        <v>87</v>
      </c>
      <c r="F116" s="2">
        <v>8</v>
      </c>
      <c r="G116" s="2">
        <v>14430</v>
      </c>
      <c r="H116" s="2">
        <v>115440</v>
      </c>
      <c r="I116" s="2" t="s">
        <v>64</v>
      </c>
      <c r="J116" s="2" t="s">
        <v>150</v>
      </c>
      <c r="K116" s="2">
        <v>4</v>
      </c>
      <c r="L116" s="2">
        <f>COUNTIF(TableTransections[[#All],[Customer ID]],TableTransections[[#This Row],[Customer ID]])</f>
        <v>6</v>
      </c>
    </row>
    <row r="117" spans="1:12" x14ac:dyDescent="0.3">
      <c r="A117" s="2" t="s">
        <v>321</v>
      </c>
      <c r="B117" s="2" t="s">
        <v>50</v>
      </c>
      <c r="C117" s="2" t="s">
        <v>322</v>
      </c>
      <c r="D117" s="2" t="s">
        <v>14</v>
      </c>
      <c r="E117" s="2" t="s">
        <v>69</v>
      </c>
      <c r="F117" s="2">
        <v>7</v>
      </c>
      <c r="G117" s="2">
        <v>2647</v>
      </c>
      <c r="H117" s="2">
        <v>18529</v>
      </c>
      <c r="I117" s="2" t="s">
        <v>64</v>
      </c>
      <c r="J117" s="2" t="s">
        <v>91</v>
      </c>
      <c r="K117" s="2">
        <v>3</v>
      </c>
      <c r="L117" s="2">
        <f>COUNTIF(TableTransections[[#All],[Customer ID]],TableTransections[[#This Row],[Customer ID]])</f>
        <v>4</v>
      </c>
    </row>
    <row r="118" spans="1:12" x14ac:dyDescent="0.3">
      <c r="A118" s="2" t="s">
        <v>323</v>
      </c>
      <c r="B118" s="2" t="s">
        <v>72</v>
      </c>
      <c r="C118" s="2" t="s">
        <v>324</v>
      </c>
      <c r="D118" s="2" t="s">
        <v>56</v>
      </c>
      <c r="E118" s="2" t="s">
        <v>57</v>
      </c>
      <c r="F118" s="2">
        <v>1</v>
      </c>
      <c r="G118" s="2">
        <v>5555</v>
      </c>
      <c r="H118" s="2">
        <v>5555</v>
      </c>
      <c r="I118" s="2" t="s">
        <v>64</v>
      </c>
      <c r="J118" s="2" t="s">
        <v>70</v>
      </c>
      <c r="K118" s="2">
        <v>4</v>
      </c>
      <c r="L118" s="2">
        <f>COUNTIF(TableTransections[[#All],[Customer ID]],TableTransections[[#This Row],[Customer ID]])</f>
        <v>5</v>
      </c>
    </row>
    <row r="119" spans="1:12" x14ac:dyDescent="0.3">
      <c r="A119" s="2" t="s">
        <v>325</v>
      </c>
      <c r="B119" s="2" t="s">
        <v>281</v>
      </c>
      <c r="C119" s="2" t="s">
        <v>189</v>
      </c>
      <c r="D119" s="2" t="s">
        <v>27</v>
      </c>
      <c r="E119" s="2" t="s">
        <v>28</v>
      </c>
      <c r="F119" s="2">
        <v>8</v>
      </c>
      <c r="G119" s="2">
        <v>1592</v>
      </c>
      <c r="H119" s="2">
        <v>12736</v>
      </c>
      <c r="I119" s="2" t="s">
        <v>34</v>
      </c>
      <c r="J119" s="2" t="s">
        <v>29</v>
      </c>
      <c r="K119" s="2">
        <v>2</v>
      </c>
      <c r="L119" s="2">
        <f>COUNTIF(TableTransections[[#All],[Customer ID]],TableTransections[[#This Row],[Customer ID]])</f>
        <v>3</v>
      </c>
    </row>
    <row r="120" spans="1:12" x14ac:dyDescent="0.3">
      <c r="A120" s="2" t="s">
        <v>326</v>
      </c>
      <c r="B120" s="2" t="s">
        <v>214</v>
      </c>
      <c r="C120" s="2" t="s">
        <v>248</v>
      </c>
      <c r="D120" s="2" t="s">
        <v>14</v>
      </c>
      <c r="E120" s="2" t="s">
        <v>167</v>
      </c>
      <c r="F120" s="2">
        <v>2</v>
      </c>
      <c r="G120" s="2">
        <v>1703</v>
      </c>
      <c r="H120" s="2">
        <v>3406</v>
      </c>
      <c r="I120" s="2" t="s">
        <v>16</v>
      </c>
      <c r="J120" s="2" t="s">
        <v>65</v>
      </c>
      <c r="K120" s="2">
        <v>2</v>
      </c>
      <c r="L120" s="2">
        <f>COUNTIF(TableTransections[[#All],[Customer ID]],TableTransections[[#This Row],[Customer ID]])</f>
        <v>2</v>
      </c>
    </row>
    <row r="121" spans="1:12" x14ac:dyDescent="0.3">
      <c r="A121" s="2" t="s">
        <v>327</v>
      </c>
      <c r="B121" s="2" t="s">
        <v>255</v>
      </c>
      <c r="C121" s="2" t="s">
        <v>328</v>
      </c>
      <c r="D121" s="2" t="s">
        <v>27</v>
      </c>
      <c r="E121" s="2" t="s">
        <v>207</v>
      </c>
      <c r="F121" s="2">
        <v>2</v>
      </c>
      <c r="G121" s="2">
        <v>21309</v>
      </c>
      <c r="H121" s="2">
        <v>42618</v>
      </c>
      <c r="I121" s="2" t="s">
        <v>16</v>
      </c>
      <c r="J121" s="2" t="s">
        <v>17</v>
      </c>
      <c r="K121" s="2">
        <v>5</v>
      </c>
      <c r="L121" s="2">
        <f>COUNTIF(TableTransections[[#All],[Customer ID]],TableTransections[[#This Row],[Customer ID]])</f>
        <v>6</v>
      </c>
    </row>
    <row r="122" spans="1:12" x14ac:dyDescent="0.3">
      <c r="A122" s="2" t="s">
        <v>329</v>
      </c>
      <c r="B122" s="2" t="s">
        <v>125</v>
      </c>
      <c r="C122" s="2" t="s">
        <v>330</v>
      </c>
      <c r="D122" s="2" t="s">
        <v>14</v>
      </c>
      <c r="E122" s="2" t="s">
        <v>140</v>
      </c>
      <c r="F122" s="2">
        <v>2</v>
      </c>
      <c r="G122" s="2">
        <v>24509</v>
      </c>
      <c r="H122" s="2">
        <v>49018</v>
      </c>
      <c r="I122" s="2" t="s">
        <v>48</v>
      </c>
      <c r="J122" s="2" t="s">
        <v>29</v>
      </c>
      <c r="K122" s="2">
        <v>5</v>
      </c>
      <c r="L122" s="2">
        <f>COUNTIF(TableTransections[[#All],[Customer ID]],TableTransections[[#This Row],[Customer ID]])</f>
        <v>3</v>
      </c>
    </row>
    <row r="123" spans="1:12" x14ac:dyDescent="0.3">
      <c r="A123" s="2" t="s">
        <v>331</v>
      </c>
      <c r="B123" s="2" t="s">
        <v>72</v>
      </c>
      <c r="C123" s="2" t="s">
        <v>332</v>
      </c>
      <c r="D123" s="2" t="s">
        <v>21</v>
      </c>
      <c r="E123" s="2" t="s">
        <v>149</v>
      </c>
      <c r="F123" s="2">
        <v>2</v>
      </c>
      <c r="G123" s="2">
        <v>3939</v>
      </c>
      <c r="H123" s="2">
        <v>7878</v>
      </c>
      <c r="I123" s="2" t="s">
        <v>23</v>
      </c>
      <c r="J123" s="2" t="s">
        <v>35</v>
      </c>
      <c r="K123" s="2">
        <v>1</v>
      </c>
      <c r="L123" s="2">
        <f>COUNTIF(TableTransections[[#All],[Customer ID]],TableTransections[[#This Row],[Customer ID]])</f>
        <v>5</v>
      </c>
    </row>
    <row r="124" spans="1:12" x14ac:dyDescent="0.3">
      <c r="A124" s="2" t="s">
        <v>333</v>
      </c>
      <c r="B124" s="2" t="s">
        <v>127</v>
      </c>
      <c r="C124" s="2" t="s">
        <v>334</v>
      </c>
      <c r="D124" s="2" t="s">
        <v>21</v>
      </c>
      <c r="E124" s="2" t="s">
        <v>74</v>
      </c>
      <c r="F124" s="2">
        <v>10</v>
      </c>
      <c r="G124" s="2">
        <v>17079</v>
      </c>
      <c r="H124" s="2">
        <v>170790</v>
      </c>
      <c r="I124" s="2" t="s">
        <v>23</v>
      </c>
      <c r="J124" s="2" t="s">
        <v>35</v>
      </c>
      <c r="K124" s="2">
        <v>1</v>
      </c>
      <c r="L124" s="2">
        <f>COUNTIF(TableTransections[[#All],[Customer ID]],TableTransections[[#This Row],[Customer ID]])</f>
        <v>3</v>
      </c>
    </row>
    <row r="125" spans="1:12" x14ac:dyDescent="0.3">
      <c r="A125" s="2" t="s">
        <v>335</v>
      </c>
      <c r="B125" s="2" t="s">
        <v>163</v>
      </c>
      <c r="C125" s="2" t="s">
        <v>336</v>
      </c>
      <c r="D125" s="2" t="s">
        <v>27</v>
      </c>
      <c r="E125" s="2" t="s">
        <v>87</v>
      </c>
      <c r="F125" s="2">
        <v>3</v>
      </c>
      <c r="G125" s="2">
        <v>477</v>
      </c>
      <c r="H125" s="2">
        <v>1431</v>
      </c>
      <c r="I125" s="2" t="s">
        <v>16</v>
      </c>
      <c r="J125" s="2" t="s">
        <v>65</v>
      </c>
      <c r="K125" s="2">
        <v>5</v>
      </c>
      <c r="L125" s="2">
        <f>COUNTIF(TableTransections[[#All],[Customer ID]],TableTransections[[#This Row],[Customer ID]])</f>
        <v>6</v>
      </c>
    </row>
    <row r="126" spans="1:12" x14ac:dyDescent="0.3">
      <c r="A126" s="2" t="s">
        <v>337</v>
      </c>
      <c r="B126" s="2" t="s">
        <v>19</v>
      </c>
      <c r="C126" s="2" t="s">
        <v>338</v>
      </c>
      <c r="D126" s="2" t="s">
        <v>27</v>
      </c>
      <c r="E126" s="2" t="s">
        <v>87</v>
      </c>
      <c r="F126" s="2">
        <v>5</v>
      </c>
      <c r="G126" s="2">
        <v>5620</v>
      </c>
      <c r="H126" s="2">
        <v>28100</v>
      </c>
      <c r="I126" s="2" t="s">
        <v>34</v>
      </c>
      <c r="J126" s="2" t="s">
        <v>150</v>
      </c>
      <c r="K126" s="2">
        <v>3</v>
      </c>
      <c r="L126" s="2">
        <f>COUNTIF(TableTransections[[#All],[Customer ID]],TableTransections[[#This Row],[Customer ID]])</f>
        <v>7</v>
      </c>
    </row>
    <row r="127" spans="1:12" x14ac:dyDescent="0.3">
      <c r="A127" s="2" t="s">
        <v>339</v>
      </c>
      <c r="B127" s="2" t="s">
        <v>117</v>
      </c>
      <c r="C127" s="2" t="s">
        <v>340</v>
      </c>
      <c r="D127" s="2" t="s">
        <v>14</v>
      </c>
      <c r="E127" s="2" t="s">
        <v>69</v>
      </c>
      <c r="F127" s="2">
        <v>4</v>
      </c>
      <c r="G127" s="2">
        <v>2560</v>
      </c>
      <c r="H127" s="2">
        <v>10240</v>
      </c>
      <c r="I127" s="2" t="s">
        <v>16</v>
      </c>
      <c r="J127" s="2" t="s">
        <v>136</v>
      </c>
      <c r="K127" s="2">
        <v>4</v>
      </c>
      <c r="L127" s="2">
        <f>COUNTIF(TableTransections[[#All],[Customer ID]],TableTransections[[#This Row],[Customer ID]])</f>
        <v>4</v>
      </c>
    </row>
    <row r="128" spans="1:12" x14ac:dyDescent="0.3">
      <c r="A128" s="2" t="s">
        <v>341</v>
      </c>
      <c r="B128" s="2" t="s">
        <v>163</v>
      </c>
      <c r="C128" s="2" t="s">
        <v>342</v>
      </c>
      <c r="D128" s="2" t="s">
        <v>14</v>
      </c>
      <c r="E128" s="2" t="s">
        <v>140</v>
      </c>
      <c r="F128" s="2">
        <v>10</v>
      </c>
      <c r="G128" s="2">
        <v>15699</v>
      </c>
      <c r="H128" s="2">
        <v>156990</v>
      </c>
      <c r="I128" s="2" t="s">
        <v>23</v>
      </c>
      <c r="J128" s="2" t="s">
        <v>70</v>
      </c>
      <c r="K128" s="2">
        <v>4</v>
      </c>
      <c r="L128" s="2">
        <f>COUNTIF(TableTransections[[#All],[Customer ID]],TableTransections[[#This Row],[Customer ID]])</f>
        <v>6</v>
      </c>
    </row>
    <row r="129" spans="1:12" x14ac:dyDescent="0.3">
      <c r="A129" s="2" t="s">
        <v>343</v>
      </c>
      <c r="B129" s="2" t="s">
        <v>344</v>
      </c>
      <c r="C129" s="2" t="s">
        <v>345</v>
      </c>
      <c r="D129" s="2" t="s">
        <v>21</v>
      </c>
      <c r="E129" s="2" t="s">
        <v>74</v>
      </c>
      <c r="F129" s="2">
        <v>7</v>
      </c>
      <c r="G129" s="2">
        <v>20086</v>
      </c>
      <c r="H129" s="2">
        <v>140602</v>
      </c>
      <c r="I129" s="2" t="s">
        <v>48</v>
      </c>
      <c r="J129" s="2" t="s">
        <v>136</v>
      </c>
      <c r="K129" s="2">
        <v>5</v>
      </c>
      <c r="L129" s="2">
        <f>COUNTIF(TableTransections[[#All],[Customer ID]],TableTransections[[#This Row],[Customer ID]])</f>
        <v>3</v>
      </c>
    </row>
    <row r="130" spans="1:12" x14ac:dyDescent="0.3">
      <c r="A130" s="2" t="s">
        <v>346</v>
      </c>
      <c r="B130" s="2" t="s">
        <v>276</v>
      </c>
      <c r="C130" s="2" t="s">
        <v>227</v>
      </c>
      <c r="D130" s="2" t="s">
        <v>56</v>
      </c>
      <c r="E130" s="2" t="s">
        <v>133</v>
      </c>
      <c r="F130" s="2">
        <v>3</v>
      </c>
      <c r="G130" s="2">
        <v>28218</v>
      </c>
      <c r="H130" s="2">
        <v>84654</v>
      </c>
      <c r="I130" s="2" t="s">
        <v>34</v>
      </c>
      <c r="J130" s="2" t="s">
        <v>35</v>
      </c>
      <c r="K130" s="2">
        <v>4</v>
      </c>
      <c r="L130" s="2">
        <f>COUNTIF(TableTransections[[#All],[Customer ID]],TableTransections[[#This Row],[Customer ID]])</f>
        <v>4</v>
      </c>
    </row>
    <row r="131" spans="1:12" x14ac:dyDescent="0.3">
      <c r="A131" s="2" t="s">
        <v>347</v>
      </c>
      <c r="B131" s="2" t="s">
        <v>135</v>
      </c>
      <c r="C131" s="2" t="s">
        <v>348</v>
      </c>
      <c r="D131" s="2" t="s">
        <v>27</v>
      </c>
      <c r="E131" s="2" t="s">
        <v>102</v>
      </c>
      <c r="F131" s="2">
        <v>6</v>
      </c>
      <c r="G131" s="2">
        <v>1783</v>
      </c>
      <c r="H131" s="2">
        <v>10698</v>
      </c>
      <c r="I131" s="2" t="s">
        <v>48</v>
      </c>
      <c r="J131" s="2" t="s">
        <v>91</v>
      </c>
      <c r="K131" s="2">
        <v>4</v>
      </c>
      <c r="L131" s="2">
        <f>COUNTIF(TableTransections[[#All],[Customer ID]],TableTransections[[#This Row],[Customer ID]])</f>
        <v>5</v>
      </c>
    </row>
    <row r="132" spans="1:12" x14ac:dyDescent="0.3">
      <c r="A132" s="2" t="s">
        <v>349</v>
      </c>
      <c r="B132" s="2" t="s">
        <v>350</v>
      </c>
      <c r="C132" s="2" t="s">
        <v>108</v>
      </c>
      <c r="D132" s="2" t="s">
        <v>42</v>
      </c>
      <c r="E132" s="2" t="s">
        <v>184</v>
      </c>
      <c r="F132" s="2">
        <v>10</v>
      </c>
      <c r="G132" s="2">
        <v>11358</v>
      </c>
      <c r="H132" s="2">
        <v>113580</v>
      </c>
      <c r="I132" s="2" t="s">
        <v>16</v>
      </c>
      <c r="J132" s="2" t="s">
        <v>65</v>
      </c>
      <c r="K132" s="2">
        <v>1</v>
      </c>
      <c r="L132" s="2">
        <f>COUNTIF(TableTransections[[#All],[Customer ID]],TableTransections[[#This Row],[Customer ID]])</f>
        <v>2</v>
      </c>
    </row>
    <row r="133" spans="1:12" x14ac:dyDescent="0.3">
      <c r="A133" s="2" t="s">
        <v>351</v>
      </c>
      <c r="B133" s="2" t="s">
        <v>76</v>
      </c>
      <c r="C133" s="2" t="s">
        <v>352</v>
      </c>
      <c r="D133" s="2" t="s">
        <v>27</v>
      </c>
      <c r="E133" s="2" t="s">
        <v>102</v>
      </c>
      <c r="F133" s="2">
        <v>9</v>
      </c>
      <c r="G133" s="2">
        <v>19816</v>
      </c>
      <c r="H133" s="2">
        <v>178344</v>
      </c>
      <c r="I133" s="2" t="s">
        <v>23</v>
      </c>
      <c r="J133" s="2" t="s">
        <v>136</v>
      </c>
      <c r="K133" s="2">
        <v>2</v>
      </c>
      <c r="L133" s="2">
        <f>COUNTIF(TableTransections[[#All],[Customer ID]],TableTransections[[#This Row],[Customer ID]])</f>
        <v>3</v>
      </c>
    </row>
    <row r="134" spans="1:12" x14ac:dyDescent="0.3">
      <c r="A134" s="2" t="s">
        <v>353</v>
      </c>
      <c r="B134" s="2" t="s">
        <v>354</v>
      </c>
      <c r="C134" s="2" t="s">
        <v>277</v>
      </c>
      <c r="D134" s="2" t="s">
        <v>27</v>
      </c>
      <c r="E134" s="2" t="s">
        <v>28</v>
      </c>
      <c r="F134" s="2">
        <v>9</v>
      </c>
      <c r="G134" s="2">
        <v>19613</v>
      </c>
      <c r="H134" s="2">
        <v>176517</v>
      </c>
      <c r="I134" s="2" t="s">
        <v>16</v>
      </c>
      <c r="J134" s="2" t="s">
        <v>136</v>
      </c>
      <c r="K134" s="2">
        <v>3</v>
      </c>
      <c r="L134" s="2">
        <f>COUNTIF(TableTransections[[#All],[Customer ID]],TableTransections[[#This Row],[Customer ID]])</f>
        <v>2</v>
      </c>
    </row>
    <row r="135" spans="1:12" x14ac:dyDescent="0.3">
      <c r="A135" s="2" t="s">
        <v>355</v>
      </c>
      <c r="B135" s="2" t="s">
        <v>356</v>
      </c>
      <c r="C135" s="2" t="s">
        <v>357</v>
      </c>
      <c r="D135" s="2" t="s">
        <v>56</v>
      </c>
      <c r="E135" s="2" t="s">
        <v>133</v>
      </c>
      <c r="F135" s="2">
        <v>9</v>
      </c>
      <c r="G135" s="2">
        <v>10193</v>
      </c>
      <c r="H135" s="2">
        <v>91737</v>
      </c>
      <c r="I135" s="2" t="s">
        <v>16</v>
      </c>
      <c r="J135" s="2" t="s">
        <v>70</v>
      </c>
      <c r="K135" s="2">
        <v>5</v>
      </c>
      <c r="L135" s="2">
        <f>COUNTIF(TableTransections[[#All],[Customer ID]],TableTransections[[#This Row],[Customer ID]])</f>
        <v>2</v>
      </c>
    </row>
    <row r="136" spans="1:12" x14ac:dyDescent="0.3">
      <c r="A136" s="2" t="s">
        <v>358</v>
      </c>
      <c r="B136" s="2" t="s">
        <v>148</v>
      </c>
      <c r="C136" s="2" t="s">
        <v>359</v>
      </c>
      <c r="D136" s="2" t="s">
        <v>14</v>
      </c>
      <c r="E136" s="2" t="s">
        <v>167</v>
      </c>
      <c r="F136" s="2">
        <v>1</v>
      </c>
      <c r="G136" s="2">
        <v>3320</v>
      </c>
      <c r="H136" s="2">
        <v>3320</v>
      </c>
      <c r="I136" s="2" t="s">
        <v>23</v>
      </c>
      <c r="J136" s="2" t="s">
        <v>29</v>
      </c>
      <c r="K136" s="2">
        <v>3</v>
      </c>
      <c r="L136" s="2">
        <f>COUNTIF(TableTransections[[#All],[Customer ID]],TableTransections[[#This Row],[Customer ID]])</f>
        <v>3</v>
      </c>
    </row>
    <row r="137" spans="1:12" x14ac:dyDescent="0.3">
      <c r="A137" s="2" t="s">
        <v>360</v>
      </c>
      <c r="B137" s="2" t="s">
        <v>163</v>
      </c>
      <c r="C137" s="2" t="s">
        <v>105</v>
      </c>
      <c r="D137" s="2" t="s">
        <v>42</v>
      </c>
      <c r="E137" s="2" t="s">
        <v>184</v>
      </c>
      <c r="F137" s="2">
        <v>7</v>
      </c>
      <c r="G137" s="2">
        <v>18941</v>
      </c>
      <c r="H137" s="2">
        <v>132587</v>
      </c>
      <c r="I137" s="2" t="s">
        <v>64</v>
      </c>
      <c r="J137" s="2" t="s">
        <v>29</v>
      </c>
      <c r="K137" s="2">
        <v>5</v>
      </c>
      <c r="L137" s="2">
        <f>COUNTIF(TableTransections[[#All],[Customer ID]],TableTransections[[#This Row],[Customer ID]])</f>
        <v>6</v>
      </c>
    </row>
    <row r="138" spans="1:12" x14ac:dyDescent="0.3">
      <c r="A138" s="2" t="s">
        <v>361</v>
      </c>
      <c r="B138" s="2" t="s">
        <v>273</v>
      </c>
      <c r="C138" s="2" t="s">
        <v>362</v>
      </c>
      <c r="D138" s="2" t="s">
        <v>56</v>
      </c>
      <c r="E138" s="2" t="s">
        <v>133</v>
      </c>
      <c r="F138" s="2">
        <v>3</v>
      </c>
      <c r="G138" s="2">
        <v>18424</v>
      </c>
      <c r="H138" s="2">
        <v>55272</v>
      </c>
      <c r="I138" s="2" t="s">
        <v>23</v>
      </c>
      <c r="J138" s="2" t="s">
        <v>65</v>
      </c>
      <c r="K138" s="2">
        <v>3</v>
      </c>
      <c r="L138" s="2">
        <f>COUNTIF(TableTransections[[#All],[Customer ID]],TableTransections[[#This Row],[Customer ID]])</f>
        <v>3</v>
      </c>
    </row>
    <row r="139" spans="1:12" x14ac:dyDescent="0.3">
      <c r="A139" s="2" t="s">
        <v>363</v>
      </c>
      <c r="B139" s="2" t="s">
        <v>364</v>
      </c>
      <c r="C139" s="2" t="s">
        <v>310</v>
      </c>
      <c r="D139" s="2" t="s">
        <v>56</v>
      </c>
      <c r="E139" s="2" t="s">
        <v>178</v>
      </c>
      <c r="F139" s="2">
        <v>8</v>
      </c>
      <c r="G139" s="2">
        <v>3319</v>
      </c>
      <c r="H139" s="2">
        <v>26552</v>
      </c>
      <c r="I139" s="2" t="s">
        <v>23</v>
      </c>
      <c r="J139" s="2" t="s">
        <v>70</v>
      </c>
      <c r="K139" s="2">
        <v>3</v>
      </c>
      <c r="L139" s="2">
        <f>COUNTIF(TableTransections[[#All],[Customer ID]],TableTransections[[#This Row],[Customer ID]])</f>
        <v>2</v>
      </c>
    </row>
    <row r="140" spans="1:12" x14ac:dyDescent="0.3">
      <c r="A140" s="2" t="s">
        <v>365</v>
      </c>
      <c r="B140" s="2" t="s">
        <v>122</v>
      </c>
      <c r="C140" s="2" t="s">
        <v>366</v>
      </c>
      <c r="D140" s="2" t="s">
        <v>42</v>
      </c>
      <c r="E140" s="2" t="s">
        <v>43</v>
      </c>
      <c r="F140" s="2">
        <v>9</v>
      </c>
      <c r="G140" s="2">
        <v>16794</v>
      </c>
      <c r="H140" s="2">
        <v>151146</v>
      </c>
      <c r="I140" s="2" t="s">
        <v>64</v>
      </c>
      <c r="J140" s="2" t="s">
        <v>91</v>
      </c>
      <c r="K140" s="2">
        <v>2</v>
      </c>
      <c r="L140" s="2">
        <f>COUNTIF(TableTransections[[#All],[Customer ID]],TableTransections[[#This Row],[Customer ID]])</f>
        <v>4</v>
      </c>
    </row>
    <row r="141" spans="1:12" x14ac:dyDescent="0.3">
      <c r="A141" s="2" t="s">
        <v>367</v>
      </c>
      <c r="B141" s="2" t="s">
        <v>312</v>
      </c>
      <c r="C141" s="2" t="s">
        <v>227</v>
      </c>
      <c r="D141" s="2" t="s">
        <v>21</v>
      </c>
      <c r="E141" s="2" t="s">
        <v>33</v>
      </c>
      <c r="F141" s="2">
        <v>2</v>
      </c>
      <c r="G141" s="2">
        <v>27242</v>
      </c>
      <c r="H141" s="2">
        <v>54484</v>
      </c>
      <c r="I141" s="2" t="s">
        <v>23</v>
      </c>
      <c r="J141" s="2" t="s">
        <v>35</v>
      </c>
      <c r="K141" s="2">
        <v>1</v>
      </c>
      <c r="L141" s="2">
        <f>COUNTIF(TableTransections[[#All],[Customer ID]],TableTransections[[#This Row],[Customer ID]])</f>
        <v>4</v>
      </c>
    </row>
    <row r="142" spans="1:12" x14ac:dyDescent="0.3">
      <c r="A142" s="2" t="s">
        <v>368</v>
      </c>
      <c r="B142" s="2" t="s">
        <v>270</v>
      </c>
      <c r="C142" s="2" t="s">
        <v>369</v>
      </c>
      <c r="D142" s="2" t="s">
        <v>56</v>
      </c>
      <c r="E142" s="2" t="s">
        <v>133</v>
      </c>
      <c r="F142" s="2">
        <v>10</v>
      </c>
      <c r="G142" s="2">
        <v>1252</v>
      </c>
      <c r="H142" s="2">
        <v>12520</v>
      </c>
      <c r="I142" s="2" t="s">
        <v>48</v>
      </c>
      <c r="J142" s="2" t="s">
        <v>150</v>
      </c>
      <c r="K142" s="2">
        <v>1</v>
      </c>
      <c r="L142" s="2">
        <f>COUNTIF(TableTransections[[#All],[Customer ID]],TableTransections[[#This Row],[Customer ID]])</f>
        <v>3</v>
      </c>
    </row>
    <row r="143" spans="1:12" x14ac:dyDescent="0.3">
      <c r="A143" s="2" t="s">
        <v>370</v>
      </c>
      <c r="B143" s="2" t="s">
        <v>135</v>
      </c>
      <c r="C143" s="2" t="s">
        <v>250</v>
      </c>
      <c r="D143" s="2" t="s">
        <v>14</v>
      </c>
      <c r="E143" s="2" t="s">
        <v>167</v>
      </c>
      <c r="F143" s="2">
        <v>4</v>
      </c>
      <c r="G143" s="2">
        <v>21956</v>
      </c>
      <c r="H143" s="2">
        <v>87824</v>
      </c>
      <c r="I143" s="2" t="s">
        <v>23</v>
      </c>
      <c r="J143" s="2" t="s">
        <v>29</v>
      </c>
      <c r="K143" s="2">
        <v>1</v>
      </c>
      <c r="L143" s="2">
        <f>COUNTIF(TableTransections[[#All],[Customer ID]],TableTransections[[#This Row],[Customer ID]])</f>
        <v>5</v>
      </c>
    </row>
    <row r="144" spans="1:12" x14ac:dyDescent="0.3">
      <c r="A144" s="2" t="s">
        <v>371</v>
      </c>
      <c r="B144" s="2" t="s">
        <v>372</v>
      </c>
      <c r="C144" s="2" t="s">
        <v>196</v>
      </c>
      <c r="D144" s="2" t="s">
        <v>14</v>
      </c>
      <c r="E144" s="2" t="s">
        <v>15</v>
      </c>
      <c r="F144" s="2">
        <v>2</v>
      </c>
      <c r="G144" s="2">
        <v>11869</v>
      </c>
      <c r="H144" s="2">
        <v>23738</v>
      </c>
      <c r="I144" s="2" t="s">
        <v>16</v>
      </c>
      <c r="J144" s="2" t="s">
        <v>29</v>
      </c>
      <c r="K144" s="2">
        <v>2</v>
      </c>
      <c r="L144" s="2">
        <f>COUNTIF(TableTransections[[#All],[Customer ID]],TableTransections[[#This Row],[Customer ID]])</f>
        <v>3</v>
      </c>
    </row>
    <row r="145" spans="1:12" x14ac:dyDescent="0.3">
      <c r="A145" s="2" t="s">
        <v>373</v>
      </c>
      <c r="B145" s="2" t="s">
        <v>104</v>
      </c>
      <c r="C145" s="2" t="s">
        <v>374</v>
      </c>
      <c r="D145" s="2" t="s">
        <v>42</v>
      </c>
      <c r="E145" s="2" t="s">
        <v>95</v>
      </c>
      <c r="F145" s="2">
        <v>10</v>
      </c>
      <c r="G145" s="2">
        <v>24242</v>
      </c>
      <c r="H145" s="2">
        <v>242420</v>
      </c>
      <c r="I145" s="2" t="s">
        <v>64</v>
      </c>
      <c r="J145" s="2" t="s">
        <v>65</v>
      </c>
      <c r="K145" s="2">
        <v>1</v>
      </c>
      <c r="L145" s="2">
        <f>COUNTIF(TableTransections[[#All],[Customer ID]],TableTransections[[#This Row],[Customer ID]])</f>
        <v>3</v>
      </c>
    </row>
    <row r="146" spans="1:12" x14ac:dyDescent="0.3">
      <c r="A146" s="2" t="s">
        <v>375</v>
      </c>
      <c r="B146" s="2" t="s">
        <v>376</v>
      </c>
      <c r="C146" s="2" t="s">
        <v>301</v>
      </c>
      <c r="D146" s="2" t="s">
        <v>27</v>
      </c>
      <c r="E146" s="2" t="s">
        <v>207</v>
      </c>
      <c r="F146" s="2">
        <v>4</v>
      </c>
      <c r="G146" s="2">
        <v>4121</v>
      </c>
      <c r="H146" s="2">
        <v>16484</v>
      </c>
      <c r="I146" s="2" t="s">
        <v>23</v>
      </c>
      <c r="J146" s="2" t="s">
        <v>91</v>
      </c>
      <c r="K146" s="2">
        <v>5</v>
      </c>
      <c r="L146" s="2">
        <f>COUNTIF(TableTransections[[#All],[Customer ID]],TableTransections[[#This Row],[Customer ID]])</f>
        <v>2</v>
      </c>
    </row>
    <row r="147" spans="1:12" x14ac:dyDescent="0.3">
      <c r="A147" s="2" t="s">
        <v>377</v>
      </c>
      <c r="B147" s="2" t="s">
        <v>83</v>
      </c>
      <c r="C147" s="2" t="s">
        <v>378</v>
      </c>
      <c r="D147" s="2" t="s">
        <v>42</v>
      </c>
      <c r="E147" s="2" t="s">
        <v>184</v>
      </c>
      <c r="F147" s="2">
        <v>7</v>
      </c>
      <c r="G147" s="2">
        <v>3535</v>
      </c>
      <c r="H147" s="2">
        <v>24745</v>
      </c>
      <c r="I147" s="2" t="s">
        <v>23</v>
      </c>
      <c r="J147" s="2" t="s">
        <v>65</v>
      </c>
      <c r="K147" s="2">
        <v>1</v>
      </c>
      <c r="L147" s="2">
        <f>COUNTIF(TableTransections[[#All],[Customer ID]],TableTransections[[#This Row],[Customer ID]])</f>
        <v>5</v>
      </c>
    </row>
    <row r="148" spans="1:12" x14ac:dyDescent="0.3">
      <c r="A148" s="2" t="s">
        <v>379</v>
      </c>
      <c r="B148" s="2" t="s">
        <v>380</v>
      </c>
      <c r="C148" s="2" t="s">
        <v>153</v>
      </c>
      <c r="D148" s="2" t="s">
        <v>27</v>
      </c>
      <c r="E148" s="2" t="s">
        <v>207</v>
      </c>
      <c r="F148" s="2">
        <v>2</v>
      </c>
      <c r="G148" s="2">
        <v>22984</v>
      </c>
      <c r="H148" s="2">
        <v>45968</v>
      </c>
      <c r="I148" s="2" t="s">
        <v>34</v>
      </c>
      <c r="J148" s="2" t="s">
        <v>91</v>
      </c>
      <c r="K148" s="2">
        <v>1</v>
      </c>
      <c r="L148" s="2">
        <f>COUNTIF(TableTransections[[#All],[Customer ID]],TableTransections[[#This Row],[Customer ID]])</f>
        <v>1</v>
      </c>
    </row>
    <row r="149" spans="1:12" x14ac:dyDescent="0.3">
      <c r="A149" s="2" t="s">
        <v>381</v>
      </c>
      <c r="B149" s="2" t="s">
        <v>382</v>
      </c>
      <c r="C149" s="2" t="s">
        <v>166</v>
      </c>
      <c r="D149" s="2" t="s">
        <v>56</v>
      </c>
      <c r="E149" s="2" t="s">
        <v>78</v>
      </c>
      <c r="F149" s="2">
        <v>7</v>
      </c>
      <c r="G149" s="2">
        <v>24078</v>
      </c>
      <c r="H149" s="2">
        <v>168546</v>
      </c>
      <c r="I149" s="2" t="s">
        <v>48</v>
      </c>
      <c r="J149" s="2" t="s">
        <v>44</v>
      </c>
      <c r="K149" s="2">
        <v>1</v>
      </c>
      <c r="L149" s="2">
        <f>COUNTIF(TableTransections[[#All],[Customer ID]],TableTransections[[#This Row],[Customer ID]])</f>
        <v>2</v>
      </c>
    </row>
    <row r="150" spans="1:12" x14ac:dyDescent="0.3">
      <c r="A150" s="2" t="s">
        <v>383</v>
      </c>
      <c r="B150" s="2" t="s">
        <v>312</v>
      </c>
      <c r="C150" s="2" t="s">
        <v>146</v>
      </c>
      <c r="D150" s="2" t="s">
        <v>56</v>
      </c>
      <c r="E150" s="2" t="s">
        <v>78</v>
      </c>
      <c r="F150" s="2">
        <v>1</v>
      </c>
      <c r="G150" s="2">
        <v>17504</v>
      </c>
      <c r="H150" s="2">
        <v>17504</v>
      </c>
      <c r="I150" s="2" t="s">
        <v>34</v>
      </c>
      <c r="J150" s="2" t="s">
        <v>17</v>
      </c>
      <c r="K150" s="2">
        <v>3</v>
      </c>
      <c r="L150" s="2">
        <f>COUNTIF(TableTransections[[#All],[Customer ID]],TableTransections[[#This Row],[Customer ID]])</f>
        <v>4</v>
      </c>
    </row>
    <row r="151" spans="1:12" x14ac:dyDescent="0.3">
      <c r="A151" s="2" t="s">
        <v>384</v>
      </c>
      <c r="B151" s="2" t="s">
        <v>93</v>
      </c>
      <c r="C151" s="2" t="s">
        <v>385</v>
      </c>
      <c r="D151" s="2" t="s">
        <v>21</v>
      </c>
      <c r="E151" s="2" t="s">
        <v>106</v>
      </c>
      <c r="F151" s="2">
        <v>9</v>
      </c>
      <c r="G151" s="2">
        <v>8759</v>
      </c>
      <c r="H151" s="2">
        <v>78831</v>
      </c>
      <c r="I151" s="2" t="s">
        <v>48</v>
      </c>
      <c r="J151" s="2" t="s">
        <v>29</v>
      </c>
      <c r="K151" s="2">
        <v>4</v>
      </c>
      <c r="L151" s="2">
        <f>COUNTIF(TableTransections[[#All],[Customer ID]],TableTransections[[#This Row],[Customer ID]])</f>
        <v>6</v>
      </c>
    </row>
    <row r="152" spans="1:12" x14ac:dyDescent="0.3">
      <c r="A152" s="2" t="s">
        <v>386</v>
      </c>
      <c r="B152" s="2" t="s">
        <v>155</v>
      </c>
      <c r="C152" s="2" t="s">
        <v>348</v>
      </c>
      <c r="D152" s="2" t="s">
        <v>56</v>
      </c>
      <c r="E152" s="2" t="s">
        <v>178</v>
      </c>
      <c r="F152" s="2">
        <v>3</v>
      </c>
      <c r="G152" s="2">
        <v>22423</v>
      </c>
      <c r="H152" s="2">
        <v>67269</v>
      </c>
      <c r="I152" s="2" t="s">
        <v>23</v>
      </c>
      <c r="J152" s="2" t="s">
        <v>17</v>
      </c>
      <c r="K152" s="2">
        <v>4</v>
      </c>
      <c r="L152" s="2">
        <f>COUNTIF(TableTransections[[#All],[Customer ID]],TableTransections[[#This Row],[Customer ID]])</f>
        <v>5</v>
      </c>
    </row>
    <row r="153" spans="1:12" x14ac:dyDescent="0.3">
      <c r="A153" s="2" t="s">
        <v>387</v>
      </c>
      <c r="B153" s="2" t="s">
        <v>37</v>
      </c>
      <c r="C153" s="2" t="s">
        <v>336</v>
      </c>
      <c r="D153" s="2" t="s">
        <v>14</v>
      </c>
      <c r="E153" s="2" t="s">
        <v>140</v>
      </c>
      <c r="F153" s="2">
        <v>8</v>
      </c>
      <c r="G153" s="2">
        <v>398</v>
      </c>
      <c r="H153" s="2">
        <v>3184</v>
      </c>
      <c r="I153" s="2" t="s">
        <v>64</v>
      </c>
      <c r="J153" s="2" t="s">
        <v>150</v>
      </c>
      <c r="K153" s="2">
        <v>1</v>
      </c>
      <c r="L153" s="2">
        <f>COUNTIF(TableTransections[[#All],[Customer ID]],TableTransections[[#This Row],[Customer ID]])</f>
        <v>4</v>
      </c>
    </row>
    <row r="154" spans="1:12" x14ac:dyDescent="0.3">
      <c r="A154" s="2" t="s">
        <v>388</v>
      </c>
      <c r="B154" s="2" t="s">
        <v>389</v>
      </c>
      <c r="C154" s="2" t="s">
        <v>390</v>
      </c>
      <c r="D154" s="2" t="s">
        <v>56</v>
      </c>
      <c r="E154" s="2" t="s">
        <v>78</v>
      </c>
      <c r="F154" s="2">
        <v>3</v>
      </c>
      <c r="G154" s="2">
        <v>9588</v>
      </c>
      <c r="H154" s="2">
        <v>28764</v>
      </c>
      <c r="I154" s="2" t="s">
        <v>16</v>
      </c>
      <c r="J154" s="2" t="s">
        <v>29</v>
      </c>
      <c r="K154" s="2">
        <v>2</v>
      </c>
      <c r="L154" s="2">
        <f>COUNTIF(TableTransections[[#All],[Customer ID]],TableTransections[[#This Row],[Customer ID]])</f>
        <v>4</v>
      </c>
    </row>
    <row r="155" spans="1:12" x14ac:dyDescent="0.3">
      <c r="A155" s="2" t="s">
        <v>391</v>
      </c>
      <c r="B155" s="2" t="s">
        <v>127</v>
      </c>
      <c r="C155" s="2" t="s">
        <v>392</v>
      </c>
      <c r="D155" s="2" t="s">
        <v>21</v>
      </c>
      <c r="E155" s="2" t="s">
        <v>149</v>
      </c>
      <c r="F155" s="2">
        <v>1</v>
      </c>
      <c r="G155" s="2">
        <v>19772</v>
      </c>
      <c r="H155" s="2">
        <v>19772</v>
      </c>
      <c r="I155" s="2" t="s">
        <v>48</v>
      </c>
      <c r="J155" s="2" t="s">
        <v>52</v>
      </c>
      <c r="K155" s="2">
        <v>3</v>
      </c>
      <c r="L155" s="2">
        <f>COUNTIF(TableTransections[[#All],[Customer ID]],TableTransections[[#This Row],[Customer ID]])</f>
        <v>3</v>
      </c>
    </row>
    <row r="156" spans="1:12" x14ac:dyDescent="0.3">
      <c r="A156" s="2" t="s">
        <v>393</v>
      </c>
      <c r="B156" s="2" t="s">
        <v>394</v>
      </c>
      <c r="C156" s="2" t="s">
        <v>139</v>
      </c>
      <c r="D156" s="2" t="s">
        <v>21</v>
      </c>
      <c r="E156" s="2" t="s">
        <v>149</v>
      </c>
      <c r="F156" s="2">
        <v>2</v>
      </c>
      <c r="G156" s="2">
        <v>5320</v>
      </c>
      <c r="H156" s="2">
        <v>10640</v>
      </c>
      <c r="I156" s="2" t="s">
        <v>64</v>
      </c>
      <c r="J156" s="2" t="s">
        <v>17</v>
      </c>
      <c r="K156" s="2">
        <v>4</v>
      </c>
      <c r="L156" s="2">
        <f>COUNTIF(TableTransections[[#All],[Customer ID]],TableTransections[[#This Row],[Customer ID]])</f>
        <v>4</v>
      </c>
    </row>
    <row r="157" spans="1:12" x14ac:dyDescent="0.3">
      <c r="A157" s="2" t="s">
        <v>395</v>
      </c>
      <c r="B157" s="2" t="s">
        <v>152</v>
      </c>
      <c r="C157" s="2" t="s">
        <v>396</v>
      </c>
      <c r="D157" s="2" t="s">
        <v>14</v>
      </c>
      <c r="E157" s="2" t="s">
        <v>15</v>
      </c>
      <c r="F157" s="2">
        <v>8</v>
      </c>
      <c r="G157" s="2">
        <v>1575</v>
      </c>
      <c r="H157" s="2">
        <v>12600</v>
      </c>
      <c r="I157" s="2" t="s">
        <v>64</v>
      </c>
      <c r="J157" s="2" t="s">
        <v>70</v>
      </c>
      <c r="K157" s="2">
        <v>4</v>
      </c>
      <c r="L157" s="2">
        <f>COUNTIF(TableTransections[[#All],[Customer ID]],TableTransections[[#This Row],[Customer ID]])</f>
        <v>3</v>
      </c>
    </row>
    <row r="158" spans="1:12" x14ac:dyDescent="0.3">
      <c r="A158" s="2" t="s">
        <v>397</v>
      </c>
      <c r="B158" s="2" t="s">
        <v>138</v>
      </c>
      <c r="C158" s="2" t="s">
        <v>274</v>
      </c>
      <c r="D158" s="2" t="s">
        <v>21</v>
      </c>
      <c r="E158" s="2" t="s">
        <v>33</v>
      </c>
      <c r="F158" s="2">
        <v>4</v>
      </c>
      <c r="G158" s="2">
        <v>24332</v>
      </c>
      <c r="H158" s="2">
        <v>97328</v>
      </c>
      <c r="I158" s="2" t="s">
        <v>48</v>
      </c>
      <c r="J158" s="2" t="s">
        <v>70</v>
      </c>
      <c r="K158" s="2">
        <v>5</v>
      </c>
      <c r="L158" s="2">
        <f>COUNTIF(TableTransections[[#All],[Customer ID]],TableTransections[[#This Row],[Customer ID]])</f>
        <v>3</v>
      </c>
    </row>
    <row r="159" spans="1:12" x14ac:dyDescent="0.3">
      <c r="A159" s="2" t="s">
        <v>398</v>
      </c>
      <c r="B159" s="2" t="s">
        <v>59</v>
      </c>
      <c r="C159" s="2" t="s">
        <v>399</v>
      </c>
      <c r="D159" s="2" t="s">
        <v>56</v>
      </c>
      <c r="E159" s="2" t="s">
        <v>57</v>
      </c>
      <c r="F159" s="2">
        <v>9</v>
      </c>
      <c r="G159" s="2">
        <v>27454</v>
      </c>
      <c r="H159" s="2">
        <v>247086</v>
      </c>
      <c r="I159" s="2" t="s">
        <v>64</v>
      </c>
      <c r="J159" s="2" t="s">
        <v>35</v>
      </c>
      <c r="K159" s="2">
        <v>1</v>
      </c>
      <c r="L159" s="2">
        <f>COUNTIF(TableTransections[[#All],[Customer ID]],TableTransections[[#This Row],[Customer ID]])</f>
        <v>3</v>
      </c>
    </row>
    <row r="160" spans="1:12" x14ac:dyDescent="0.3">
      <c r="A160" s="2" t="s">
        <v>400</v>
      </c>
      <c r="B160" s="2" t="s">
        <v>229</v>
      </c>
      <c r="C160" s="2" t="s">
        <v>132</v>
      </c>
      <c r="D160" s="2" t="s">
        <v>21</v>
      </c>
      <c r="E160" s="2" t="s">
        <v>33</v>
      </c>
      <c r="F160" s="2">
        <v>3</v>
      </c>
      <c r="G160" s="2">
        <v>8866</v>
      </c>
      <c r="H160" s="2">
        <v>26598</v>
      </c>
      <c r="I160" s="2" t="s">
        <v>48</v>
      </c>
      <c r="J160" s="2" t="s">
        <v>52</v>
      </c>
      <c r="K160" s="2">
        <v>3</v>
      </c>
      <c r="L160" s="2">
        <f>COUNTIF(TableTransections[[#All],[Customer ID]],TableTransections[[#This Row],[Customer ID]])</f>
        <v>2</v>
      </c>
    </row>
    <row r="161" spans="1:12" x14ac:dyDescent="0.3">
      <c r="A161" s="2" t="s">
        <v>401</v>
      </c>
      <c r="B161" s="2" t="s">
        <v>402</v>
      </c>
      <c r="C161" s="2" t="s">
        <v>403</v>
      </c>
      <c r="D161" s="2" t="s">
        <v>42</v>
      </c>
      <c r="E161" s="2" t="s">
        <v>43</v>
      </c>
      <c r="F161" s="2">
        <v>2</v>
      </c>
      <c r="G161" s="2">
        <v>25341</v>
      </c>
      <c r="H161" s="2">
        <v>50682</v>
      </c>
      <c r="I161" s="2" t="s">
        <v>23</v>
      </c>
      <c r="J161" s="2" t="s">
        <v>44</v>
      </c>
      <c r="K161" s="2">
        <v>3</v>
      </c>
      <c r="L161" s="2">
        <f>COUNTIF(TableTransections[[#All],[Customer ID]],TableTransections[[#This Row],[Customer ID]])</f>
        <v>3</v>
      </c>
    </row>
    <row r="162" spans="1:12" x14ac:dyDescent="0.3">
      <c r="A162" s="2" t="s">
        <v>404</v>
      </c>
      <c r="B162" s="2" t="s">
        <v>364</v>
      </c>
      <c r="C162" s="2" t="s">
        <v>328</v>
      </c>
      <c r="D162" s="2" t="s">
        <v>14</v>
      </c>
      <c r="E162" s="2" t="s">
        <v>15</v>
      </c>
      <c r="F162" s="2">
        <v>6</v>
      </c>
      <c r="G162" s="2">
        <v>2216</v>
      </c>
      <c r="H162" s="2">
        <v>13296</v>
      </c>
      <c r="I162" s="2" t="s">
        <v>64</v>
      </c>
      <c r="J162" s="2" t="s">
        <v>35</v>
      </c>
      <c r="K162" s="2">
        <v>1</v>
      </c>
      <c r="L162" s="2">
        <f>COUNTIF(TableTransections[[#All],[Customer ID]],TableTransections[[#This Row],[Customer ID]])</f>
        <v>2</v>
      </c>
    </row>
    <row r="163" spans="1:12" x14ac:dyDescent="0.3">
      <c r="A163" s="2" t="s">
        <v>405</v>
      </c>
      <c r="B163" s="2" t="s">
        <v>67</v>
      </c>
      <c r="C163" s="2" t="s">
        <v>406</v>
      </c>
      <c r="D163" s="2" t="s">
        <v>27</v>
      </c>
      <c r="E163" s="2" t="s">
        <v>87</v>
      </c>
      <c r="F163" s="2">
        <v>9</v>
      </c>
      <c r="G163" s="2">
        <v>20164</v>
      </c>
      <c r="H163" s="2">
        <v>181476</v>
      </c>
      <c r="I163" s="2" t="s">
        <v>16</v>
      </c>
      <c r="J163" s="2" t="s">
        <v>17</v>
      </c>
      <c r="K163" s="2">
        <v>4</v>
      </c>
      <c r="L163" s="2">
        <f>COUNTIF(TableTransections[[#All],[Customer ID]],TableTransections[[#This Row],[Customer ID]])</f>
        <v>6</v>
      </c>
    </row>
    <row r="164" spans="1:12" x14ac:dyDescent="0.3">
      <c r="A164" s="2" t="s">
        <v>407</v>
      </c>
      <c r="B164" s="2" t="s">
        <v>394</v>
      </c>
      <c r="C164" s="2" t="s">
        <v>359</v>
      </c>
      <c r="D164" s="2" t="s">
        <v>42</v>
      </c>
      <c r="E164" s="2" t="s">
        <v>184</v>
      </c>
      <c r="F164" s="2">
        <v>4</v>
      </c>
      <c r="G164" s="2">
        <v>14403</v>
      </c>
      <c r="H164" s="2">
        <v>57612</v>
      </c>
      <c r="I164" s="2" t="s">
        <v>23</v>
      </c>
      <c r="J164" s="2" t="s">
        <v>29</v>
      </c>
      <c r="K164" s="2">
        <v>2</v>
      </c>
      <c r="L164" s="2">
        <f>COUNTIF(TableTransections[[#All],[Customer ID]],TableTransections[[#This Row],[Customer ID]])</f>
        <v>4</v>
      </c>
    </row>
    <row r="165" spans="1:12" x14ac:dyDescent="0.3">
      <c r="A165" s="2" t="s">
        <v>408</v>
      </c>
      <c r="B165" s="2" t="s">
        <v>409</v>
      </c>
      <c r="C165" s="2" t="s">
        <v>256</v>
      </c>
      <c r="D165" s="2" t="s">
        <v>27</v>
      </c>
      <c r="E165" s="2" t="s">
        <v>87</v>
      </c>
      <c r="F165" s="2">
        <v>5</v>
      </c>
      <c r="G165" s="2">
        <v>29790</v>
      </c>
      <c r="H165" s="2">
        <v>148950</v>
      </c>
      <c r="I165" s="2" t="s">
        <v>48</v>
      </c>
      <c r="J165" s="2" t="s">
        <v>44</v>
      </c>
      <c r="K165" s="2">
        <v>1</v>
      </c>
      <c r="L165" s="2">
        <f>COUNTIF(TableTransections[[#All],[Customer ID]],TableTransections[[#This Row],[Customer ID]])</f>
        <v>3</v>
      </c>
    </row>
    <row r="166" spans="1:12" x14ac:dyDescent="0.3">
      <c r="A166" s="2" t="s">
        <v>410</v>
      </c>
      <c r="B166" s="2" t="s">
        <v>411</v>
      </c>
      <c r="C166" s="2" t="s">
        <v>412</v>
      </c>
      <c r="D166" s="2" t="s">
        <v>21</v>
      </c>
      <c r="E166" s="2" t="s">
        <v>106</v>
      </c>
      <c r="F166" s="2">
        <v>6</v>
      </c>
      <c r="G166" s="2">
        <v>4078</v>
      </c>
      <c r="H166" s="2">
        <v>24468</v>
      </c>
      <c r="I166" s="2" t="s">
        <v>34</v>
      </c>
      <c r="J166" s="2" t="s">
        <v>65</v>
      </c>
      <c r="K166" s="2">
        <v>2</v>
      </c>
      <c r="L166" s="2">
        <f>COUNTIF(TableTransections[[#All],[Customer ID]],TableTransections[[#This Row],[Customer ID]])</f>
        <v>1</v>
      </c>
    </row>
    <row r="167" spans="1:12" x14ac:dyDescent="0.3">
      <c r="A167" s="2" t="s">
        <v>413</v>
      </c>
      <c r="B167" s="2" t="s">
        <v>155</v>
      </c>
      <c r="C167" s="2" t="s">
        <v>414</v>
      </c>
      <c r="D167" s="2" t="s">
        <v>21</v>
      </c>
      <c r="E167" s="2" t="s">
        <v>74</v>
      </c>
      <c r="F167" s="2">
        <v>2</v>
      </c>
      <c r="G167" s="2">
        <v>27034</v>
      </c>
      <c r="H167" s="2">
        <v>54068</v>
      </c>
      <c r="I167" s="2" t="s">
        <v>48</v>
      </c>
      <c r="J167" s="2" t="s">
        <v>136</v>
      </c>
      <c r="K167" s="2">
        <v>2</v>
      </c>
      <c r="L167" s="2">
        <f>COUNTIF(TableTransections[[#All],[Customer ID]],TableTransections[[#This Row],[Customer ID]])</f>
        <v>5</v>
      </c>
    </row>
    <row r="168" spans="1:12" x14ac:dyDescent="0.3">
      <c r="A168" s="2" t="s">
        <v>415</v>
      </c>
      <c r="B168" s="2" t="s">
        <v>416</v>
      </c>
      <c r="C168" s="2" t="s">
        <v>51</v>
      </c>
      <c r="D168" s="2" t="s">
        <v>27</v>
      </c>
      <c r="E168" s="2" t="s">
        <v>28</v>
      </c>
      <c r="F168" s="2">
        <v>5</v>
      </c>
      <c r="G168" s="2">
        <v>27909</v>
      </c>
      <c r="H168" s="2">
        <v>139545</v>
      </c>
      <c r="I168" s="2" t="s">
        <v>16</v>
      </c>
      <c r="J168" s="2" t="s">
        <v>70</v>
      </c>
      <c r="K168" s="2">
        <v>3</v>
      </c>
      <c r="L168" s="2">
        <f>COUNTIF(TableTransections[[#All],[Customer ID]],TableTransections[[#This Row],[Customer ID]])</f>
        <v>4</v>
      </c>
    </row>
    <row r="169" spans="1:12" x14ac:dyDescent="0.3">
      <c r="A169" s="2" t="s">
        <v>417</v>
      </c>
      <c r="B169" s="2" t="s">
        <v>389</v>
      </c>
      <c r="C169" s="2" t="s">
        <v>418</v>
      </c>
      <c r="D169" s="2" t="s">
        <v>42</v>
      </c>
      <c r="E169" s="2" t="s">
        <v>43</v>
      </c>
      <c r="F169" s="2">
        <v>5</v>
      </c>
      <c r="G169" s="2">
        <v>4648</v>
      </c>
      <c r="H169" s="2">
        <v>23240</v>
      </c>
      <c r="I169" s="2" t="s">
        <v>16</v>
      </c>
      <c r="J169" s="2" t="s">
        <v>136</v>
      </c>
      <c r="K169" s="2">
        <v>3</v>
      </c>
      <c r="L169" s="2">
        <f>COUNTIF(TableTransections[[#All],[Customer ID]],TableTransections[[#This Row],[Customer ID]])</f>
        <v>4</v>
      </c>
    </row>
    <row r="170" spans="1:12" x14ac:dyDescent="0.3">
      <c r="A170" s="2" t="s">
        <v>419</v>
      </c>
      <c r="B170" s="2" t="s">
        <v>54</v>
      </c>
      <c r="C170" s="2" t="s">
        <v>26</v>
      </c>
      <c r="D170" s="2" t="s">
        <v>42</v>
      </c>
      <c r="E170" s="2" t="s">
        <v>95</v>
      </c>
      <c r="F170" s="2">
        <v>6</v>
      </c>
      <c r="G170" s="2">
        <v>14724</v>
      </c>
      <c r="H170" s="2">
        <v>88344</v>
      </c>
      <c r="I170" s="2" t="s">
        <v>64</v>
      </c>
      <c r="J170" s="2" t="s">
        <v>44</v>
      </c>
      <c r="K170" s="2">
        <v>5</v>
      </c>
      <c r="L170" s="2">
        <f>COUNTIF(TableTransections[[#All],[Customer ID]],TableTransections[[#This Row],[Customer ID]])</f>
        <v>3</v>
      </c>
    </row>
    <row r="171" spans="1:12" x14ac:dyDescent="0.3">
      <c r="A171" s="2" t="s">
        <v>420</v>
      </c>
      <c r="B171" s="2" t="s">
        <v>100</v>
      </c>
      <c r="C171" s="2" t="s">
        <v>256</v>
      </c>
      <c r="D171" s="2" t="s">
        <v>14</v>
      </c>
      <c r="E171" s="2" t="s">
        <v>15</v>
      </c>
      <c r="F171" s="2">
        <v>7</v>
      </c>
      <c r="G171" s="2">
        <v>1564</v>
      </c>
      <c r="H171" s="2">
        <v>10948</v>
      </c>
      <c r="I171" s="2" t="s">
        <v>16</v>
      </c>
      <c r="J171" s="2" t="s">
        <v>52</v>
      </c>
      <c r="K171" s="2">
        <v>4</v>
      </c>
      <c r="L171" s="2">
        <f>COUNTIF(TableTransections[[#All],[Customer ID]],TableTransections[[#This Row],[Customer ID]])</f>
        <v>5</v>
      </c>
    </row>
    <row r="172" spans="1:12" x14ac:dyDescent="0.3">
      <c r="A172" s="2" t="s">
        <v>421</v>
      </c>
      <c r="B172" s="2" t="s">
        <v>422</v>
      </c>
      <c r="C172" s="2" t="s">
        <v>108</v>
      </c>
      <c r="D172" s="2" t="s">
        <v>14</v>
      </c>
      <c r="E172" s="2" t="s">
        <v>140</v>
      </c>
      <c r="F172" s="2">
        <v>3</v>
      </c>
      <c r="G172" s="2">
        <v>1473</v>
      </c>
      <c r="H172" s="2">
        <v>4419</v>
      </c>
      <c r="I172" s="2" t="s">
        <v>23</v>
      </c>
      <c r="J172" s="2" t="s">
        <v>65</v>
      </c>
      <c r="K172" s="2">
        <v>2</v>
      </c>
      <c r="L172" s="2">
        <f>COUNTIF(TableTransections[[#All],[Customer ID]],TableTransections[[#This Row],[Customer ID]])</f>
        <v>1</v>
      </c>
    </row>
    <row r="173" spans="1:12" x14ac:dyDescent="0.3">
      <c r="A173" s="2" t="s">
        <v>423</v>
      </c>
      <c r="B173" s="2" t="s">
        <v>299</v>
      </c>
      <c r="C173" s="2" t="s">
        <v>115</v>
      </c>
      <c r="D173" s="2" t="s">
        <v>42</v>
      </c>
      <c r="E173" s="2" t="s">
        <v>184</v>
      </c>
      <c r="F173" s="2">
        <v>4</v>
      </c>
      <c r="G173" s="2">
        <v>29727</v>
      </c>
      <c r="H173" s="2">
        <v>118908</v>
      </c>
      <c r="I173" s="2" t="s">
        <v>34</v>
      </c>
      <c r="J173" s="2" t="s">
        <v>150</v>
      </c>
      <c r="K173" s="2">
        <v>1</v>
      </c>
      <c r="L173" s="2">
        <f>COUNTIF(TableTransections[[#All],[Customer ID]],TableTransections[[#This Row],[Customer ID]])</f>
        <v>4</v>
      </c>
    </row>
    <row r="174" spans="1:12" x14ac:dyDescent="0.3">
      <c r="A174" s="2" t="s">
        <v>424</v>
      </c>
      <c r="B174" s="2" t="s">
        <v>247</v>
      </c>
      <c r="C174" s="2" t="s">
        <v>425</v>
      </c>
      <c r="D174" s="2" t="s">
        <v>56</v>
      </c>
      <c r="E174" s="2" t="s">
        <v>78</v>
      </c>
      <c r="F174" s="2">
        <v>4</v>
      </c>
      <c r="G174" s="2">
        <v>5180</v>
      </c>
      <c r="H174" s="2">
        <v>20720</v>
      </c>
      <c r="I174" s="2" t="s">
        <v>23</v>
      </c>
      <c r="J174" s="2" t="s">
        <v>150</v>
      </c>
      <c r="K174" s="2">
        <v>5</v>
      </c>
      <c r="L174" s="2">
        <f>COUNTIF(TableTransections[[#All],[Customer ID]],TableTransections[[#This Row],[Customer ID]])</f>
        <v>2</v>
      </c>
    </row>
    <row r="175" spans="1:12" x14ac:dyDescent="0.3">
      <c r="A175" s="2" t="s">
        <v>426</v>
      </c>
      <c r="B175" s="2" t="s">
        <v>198</v>
      </c>
      <c r="C175" s="2" t="s">
        <v>286</v>
      </c>
      <c r="D175" s="2" t="s">
        <v>56</v>
      </c>
      <c r="E175" s="2" t="s">
        <v>178</v>
      </c>
      <c r="F175" s="2">
        <v>6</v>
      </c>
      <c r="G175" s="2">
        <v>18675</v>
      </c>
      <c r="H175" s="2">
        <v>112050</v>
      </c>
      <c r="I175" s="2" t="s">
        <v>34</v>
      </c>
      <c r="J175" s="2" t="s">
        <v>136</v>
      </c>
      <c r="K175" s="2">
        <v>5</v>
      </c>
      <c r="L175" s="2">
        <f>COUNTIF(TableTransections[[#All],[Customer ID]],TableTransections[[#This Row],[Customer ID]])</f>
        <v>4</v>
      </c>
    </row>
    <row r="176" spans="1:12" x14ac:dyDescent="0.3">
      <c r="A176" s="2" t="s">
        <v>427</v>
      </c>
      <c r="B176" s="2" t="s">
        <v>67</v>
      </c>
      <c r="C176" s="2" t="s">
        <v>146</v>
      </c>
      <c r="D176" s="2" t="s">
        <v>14</v>
      </c>
      <c r="E176" s="2" t="s">
        <v>140</v>
      </c>
      <c r="F176" s="2">
        <v>8</v>
      </c>
      <c r="G176" s="2">
        <v>5772</v>
      </c>
      <c r="H176" s="2">
        <v>46176</v>
      </c>
      <c r="I176" s="2" t="s">
        <v>48</v>
      </c>
      <c r="J176" s="2" t="s">
        <v>52</v>
      </c>
      <c r="K176" s="2">
        <v>2</v>
      </c>
      <c r="L176" s="2">
        <f>COUNTIF(TableTransections[[#All],[Customer ID]],TableTransections[[#This Row],[Customer ID]])</f>
        <v>6</v>
      </c>
    </row>
    <row r="177" spans="1:12" x14ac:dyDescent="0.3">
      <c r="A177" s="2" t="s">
        <v>428</v>
      </c>
      <c r="B177" s="2" t="s">
        <v>429</v>
      </c>
      <c r="C177" s="2" t="s">
        <v>128</v>
      </c>
      <c r="D177" s="2" t="s">
        <v>27</v>
      </c>
      <c r="E177" s="2" t="s">
        <v>28</v>
      </c>
      <c r="F177" s="2">
        <v>3</v>
      </c>
      <c r="G177" s="2">
        <v>27208</v>
      </c>
      <c r="H177" s="2">
        <v>81624</v>
      </c>
      <c r="I177" s="2" t="s">
        <v>34</v>
      </c>
      <c r="J177" s="2" t="s">
        <v>29</v>
      </c>
      <c r="K177" s="2">
        <v>5</v>
      </c>
      <c r="L177" s="2">
        <f>COUNTIF(TableTransections[[#All],[Customer ID]],TableTransections[[#This Row],[Customer ID]])</f>
        <v>1</v>
      </c>
    </row>
    <row r="178" spans="1:12" x14ac:dyDescent="0.3">
      <c r="A178" s="2" t="s">
        <v>430</v>
      </c>
      <c r="B178" s="2" t="s">
        <v>19</v>
      </c>
      <c r="C178" s="2" t="s">
        <v>202</v>
      </c>
      <c r="D178" s="2" t="s">
        <v>56</v>
      </c>
      <c r="E178" s="2" t="s">
        <v>133</v>
      </c>
      <c r="F178" s="2">
        <v>2</v>
      </c>
      <c r="G178" s="2">
        <v>13097</v>
      </c>
      <c r="H178" s="2">
        <v>26194</v>
      </c>
      <c r="I178" s="2" t="s">
        <v>34</v>
      </c>
      <c r="J178" s="2" t="s">
        <v>136</v>
      </c>
      <c r="K178" s="2">
        <v>4</v>
      </c>
      <c r="L178" s="2">
        <f>COUNTIF(TableTransections[[#All],[Customer ID]],TableTransections[[#This Row],[Customer ID]])</f>
        <v>7</v>
      </c>
    </row>
    <row r="179" spans="1:12" x14ac:dyDescent="0.3">
      <c r="A179" s="2" t="s">
        <v>431</v>
      </c>
      <c r="B179" s="2" t="s">
        <v>432</v>
      </c>
      <c r="C179" s="2" t="s">
        <v>123</v>
      </c>
      <c r="D179" s="2" t="s">
        <v>27</v>
      </c>
      <c r="E179" s="2" t="s">
        <v>87</v>
      </c>
      <c r="F179" s="2">
        <v>8</v>
      </c>
      <c r="G179" s="2">
        <v>18540</v>
      </c>
      <c r="H179" s="2">
        <v>148320</v>
      </c>
      <c r="I179" s="2" t="s">
        <v>23</v>
      </c>
      <c r="J179" s="2" t="s">
        <v>91</v>
      </c>
      <c r="K179" s="2">
        <v>2</v>
      </c>
      <c r="L179" s="2">
        <f>COUNTIF(TableTransections[[#All],[Customer ID]],TableTransections[[#This Row],[Customer ID]])</f>
        <v>4</v>
      </c>
    </row>
    <row r="180" spans="1:12" x14ac:dyDescent="0.3">
      <c r="A180" s="2" t="s">
        <v>433</v>
      </c>
      <c r="B180" s="2" t="s">
        <v>434</v>
      </c>
      <c r="C180" s="2" t="s">
        <v>435</v>
      </c>
      <c r="D180" s="2" t="s">
        <v>14</v>
      </c>
      <c r="E180" s="2" t="s">
        <v>167</v>
      </c>
      <c r="F180" s="2">
        <v>10</v>
      </c>
      <c r="G180" s="2">
        <v>23963</v>
      </c>
      <c r="H180" s="2">
        <v>239630</v>
      </c>
      <c r="I180" s="2" t="s">
        <v>16</v>
      </c>
      <c r="J180" s="2" t="s">
        <v>17</v>
      </c>
      <c r="K180" s="2">
        <v>4</v>
      </c>
      <c r="L180" s="2">
        <f>COUNTIF(TableTransections[[#All],[Customer ID]],TableTransections[[#This Row],[Customer ID]])</f>
        <v>1</v>
      </c>
    </row>
    <row r="181" spans="1:12" x14ac:dyDescent="0.3">
      <c r="A181" s="2" t="s">
        <v>436</v>
      </c>
      <c r="B181" s="2" t="s">
        <v>437</v>
      </c>
      <c r="C181" s="2" t="s">
        <v>438</v>
      </c>
      <c r="D181" s="2" t="s">
        <v>14</v>
      </c>
      <c r="E181" s="2" t="s">
        <v>15</v>
      </c>
      <c r="F181" s="2">
        <v>7</v>
      </c>
      <c r="G181" s="2">
        <v>6929</v>
      </c>
      <c r="H181" s="2">
        <v>48503</v>
      </c>
      <c r="I181" s="2" t="s">
        <v>64</v>
      </c>
      <c r="J181" s="2" t="s">
        <v>136</v>
      </c>
      <c r="K181" s="2">
        <v>3</v>
      </c>
      <c r="L181" s="2">
        <f>COUNTIF(TableTransections[[#All],[Customer ID]],TableTransections[[#This Row],[Customer ID]])</f>
        <v>3</v>
      </c>
    </row>
    <row r="182" spans="1:12" x14ac:dyDescent="0.3">
      <c r="A182" s="2" t="s">
        <v>439</v>
      </c>
      <c r="B182" s="2" t="s">
        <v>440</v>
      </c>
      <c r="C182" s="2" t="s">
        <v>132</v>
      </c>
      <c r="D182" s="2" t="s">
        <v>42</v>
      </c>
      <c r="E182" s="2" t="s">
        <v>184</v>
      </c>
      <c r="F182" s="2">
        <v>3</v>
      </c>
      <c r="G182" s="2">
        <v>3454</v>
      </c>
      <c r="H182" s="2">
        <v>10362</v>
      </c>
      <c r="I182" s="2" t="s">
        <v>23</v>
      </c>
      <c r="J182" s="2" t="s">
        <v>44</v>
      </c>
      <c r="K182" s="2">
        <v>4</v>
      </c>
      <c r="L182" s="2">
        <f>COUNTIF(TableTransections[[#All],[Customer ID]],TableTransections[[#This Row],[Customer ID]])</f>
        <v>1</v>
      </c>
    </row>
    <row r="183" spans="1:12" x14ac:dyDescent="0.3">
      <c r="A183" s="2" t="s">
        <v>441</v>
      </c>
      <c r="B183" s="2" t="s">
        <v>188</v>
      </c>
      <c r="C183" s="2" t="s">
        <v>230</v>
      </c>
      <c r="D183" s="2" t="s">
        <v>56</v>
      </c>
      <c r="E183" s="2" t="s">
        <v>133</v>
      </c>
      <c r="F183" s="2">
        <v>1</v>
      </c>
      <c r="G183" s="2">
        <v>27997</v>
      </c>
      <c r="H183" s="2">
        <v>27997</v>
      </c>
      <c r="I183" s="2" t="s">
        <v>48</v>
      </c>
      <c r="J183" s="2" t="s">
        <v>35</v>
      </c>
      <c r="K183" s="2">
        <v>1</v>
      </c>
      <c r="L183" s="2">
        <f>COUNTIF(TableTransections[[#All],[Customer ID]],TableTransections[[#This Row],[Customer ID]])</f>
        <v>5</v>
      </c>
    </row>
    <row r="184" spans="1:12" x14ac:dyDescent="0.3">
      <c r="A184" s="2" t="s">
        <v>442</v>
      </c>
      <c r="B184" s="2" t="s">
        <v>443</v>
      </c>
      <c r="C184" s="2" t="s">
        <v>444</v>
      </c>
      <c r="D184" s="2" t="s">
        <v>21</v>
      </c>
      <c r="E184" s="2" t="s">
        <v>74</v>
      </c>
      <c r="F184" s="2">
        <v>5</v>
      </c>
      <c r="G184" s="2">
        <v>15125</v>
      </c>
      <c r="H184" s="2">
        <v>75625</v>
      </c>
      <c r="I184" s="2" t="s">
        <v>16</v>
      </c>
      <c r="J184" s="2" t="s">
        <v>52</v>
      </c>
      <c r="K184" s="2">
        <v>5</v>
      </c>
      <c r="L184" s="2">
        <f>COUNTIF(TableTransections[[#All],[Customer ID]],TableTransections[[#This Row],[Customer ID]])</f>
        <v>2</v>
      </c>
    </row>
    <row r="185" spans="1:12" x14ac:dyDescent="0.3">
      <c r="A185" s="2" t="s">
        <v>445</v>
      </c>
      <c r="B185" s="2" t="s">
        <v>83</v>
      </c>
      <c r="C185" s="2" t="s">
        <v>316</v>
      </c>
      <c r="D185" s="2" t="s">
        <v>14</v>
      </c>
      <c r="E185" s="2" t="s">
        <v>15</v>
      </c>
      <c r="F185" s="2">
        <v>5</v>
      </c>
      <c r="G185" s="2">
        <v>3567</v>
      </c>
      <c r="H185" s="2">
        <v>17835</v>
      </c>
      <c r="I185" s="2" t="s">
        <v>64</v>
      </c>
      <c r="J185" s="2" t="s">
        <v>65</v>
      </c>
      <c r="K185" s="2">
        <v>1</v>
      </c>
      <c r="L185" s="2">
        <f>COUNTIF(TableTransections[[#All],[Customer ID]],TableTransections[[#This Row],[Customer ID]])</f>
        <v>5</v>
      </c>
    </row>
    <row r="186" spans="1:12" x14ac:dyDescent="0.3">
      <c r="A186" s="2" t="s">
        <v>446</v>
      </c>
      <c r="B186" s="2" t="s">
        <v>122</v>
      </c>
      <c r="C186" s="2" t="s">
        <v>172</v>
      </c>
      <c r="D186" s="2" t="s">
        <v>21</v>
      </c>
      <c r="E186" s="2" t="s">
        <v>149</v>
      </c>
      <c r="F186" s="2">
        <v>3</v>
      </c>
      <c r="G186" s="2">
        <v>18032</v>
      </c>
      <c r="H186" s="2">
        <v>54096</v>
      </c>
      <c r="I186" s="2" t="s">
        <v>23</v>
      </c>
      <c r="J186" s="2" t="s">
        <v>136</v>
      </c>
      <c r="K186" s="2">
        <v>2</v>
      </c>
      <c r="L186" s="2">
        <f>COUNTIF(TableTransections[[#All],[Customer ID]],TableTransections[[#This Row],[Customer ID]])</f>
        <v>4</v>
      </c>
    </row>
    <row r="187" spans="1:12" x14ac:dyDescent="0.3">
      <c r="A187" s="2" t="s">
        <v>447</v>
      </c>
      <c r="B187" s="2" t="s">
        <v>372</v>
      </c>
      <c r="C187" s="2" t="s">
        <v>316</v>
      </c>
      <c r="D187" s="2" t="s">
        <v>56</v>
      </c>
      <c r="E187" s="2" t="s">
        <v>178</v>
      </c>
      <c r="F187" s="2">
        <v>8</v>
      </c>
      <c r="G187" s="2">
        <v>3363</v>
      </c>
      <c r="H187" s="2">
        <v>26904</v>
      </c>
      <c r="I187" s="2" t="s">
        <v>48</v>
      </c>
      <c r="J187" s="2" t="s">
        <v>91</v>
      </c>
      <c r="K187" s="2">
        <v>5</v>
      </c>
      <c r="L187" s="2">
        <f>COUNTIF(TableTransections[[#All],[Customer ID]],TableTransections[[#This Row],[Customer ID]])</f>
        <v>3</v>
      </c>
    </row>
    <row r="188" spans="1:12" x14ac:dyDescent="0.3">
      <c r="A188" s="2" t="s">
        <v>448</v>
      </c>
      <c r="B188" s="2" t="s">
        <v>72</v>
      </c>
      <c r="C188" s="2" t="s">
        <v>164</v>
      </c>
      <c r="D188" s="2" t="s">
        <v>42</v>
      </c>
      <c r="E188" s="2" t="s">
        <v>184</v>
      </c>
      <c r="F188" s="2">
        <v>4</v>
      </c>
      <c r="G188" s="2">
        <v>4863</v>
      </c>
      <c r="H188" s="2">
        <v>19452</v>
      </c>
      <c r="I188" s="2" t="s">
        <v>48</v>
      </c>
      <c r="J188" s="2" t="s">
        <v>17</v>
      </c>
      <c r="K188" s="2">
        <v>1</v>
      </c>
      <c r="L188" s="2">
        <f>COUNTIF(TableTransections[[#All],[Customer ID]],TableTransections[[#This Row],[Customer ID]])</f>
        <v>5</v>
      </c>
    </row>
    <row r="189" spans="1:12" x14ac:dyDescent="0.3">
      <c r="A189" s="2" t="s">
        <v>449</v>
      </c>
      <c r="B189" s="2" t="s">
        <v>176</v>
      </c>
      <c r="C189" s="2" t="s">
        <v>450</v>
      </c>
      <c r="D189" s="2" t="s">
        <v>21</v>
      </c>
      <c r="E189" s="2" t="s">
        <v>74</v>
      </c>
      <c r="F189" s="2">
        <v>3</v>
      </c>
      <c r="G189" s="2">
        <v>16270</v>
      </c>
      <c r="H189" s="2">
        <v>48810</v>
      </c>
      <c r="I189" s="2" t="s">
        <v>64</v>
      </c>
      <c r="J189" s="2" t="s">
        <v>70</v>
      </c>
      <c r="K189" s="2">
        <v>4</v>
      </c>
      <c r="L189" s="2">
        <f>COUNTIF(TableTransections[[#All],[Customer ID]],TableTransections[[#This Row],[Customer ID]])</f>
        <v>4</v>
      </c>
    </row>
    <row r="190" spans="1:12" x14ac:dyDescent="0.3">
      <c r="A190" s="2" t="s">
        <v>451</v>
      </c>
      <c r="B190" s="2" t="s">
        <v>437</v>
      </c>
      <c r="C190" s="2" t="s">
        <v>452</v>
      </c>
      <c r="D190" s="2" t="s">
        <v>27</v>
      </c>
      <c r="E190" s="2" t="s">
        <v>87</v>
      </c>
      <c r="F190" s="2">
        <v>9</v>
      </c>
      <c r="G190" s="2">
        <v>28458</v>
      </c>
      <c r="H190" s="2">
        <v>256122</v>
      </c>
      <c r="I190" s="2" t="s">
        <v>34</v>
      </c>
      <c r="J190" s="2" t="s">
        <v>150</v>
      </c>
      <c r="K190" s="2">
        <v>5</v>
      </c>
      <c r="L190" s="2">
        <f>COUNTIF(TableTransections[[#All],[Customer ID]],TableTransections[[#This Row],[Customer ID]])</f>
        <v>3</v>
      </c>
    </row>
    <row r="191" spans="1:12" x14ac:dyDescent="0.3">
      <c r="A191" s="2" t="s">
        <v>453</v>
      </c>
      <c r="B191" s="2" t="s">
        <v>304</v>
      </c>
      <c r="C191" s="2" t="s">
        <v>319</v>
      </c>
      <c r="D191" s="2" t="s">
        <v>27</v>
      </c>
      <c r="E191" s="2" t="s">
        <v>102</v>
      </c>
      <c r="F191" s="2">
        <v>10</v>
      </c>
      <c r="G191" s="2">
        <v>15248</v>
      </c>
      <c r="H191" s="2">
        <v>152480</v>
      </c>
      <c r="I191" s="2" t="s">
        <v>48</v>
      </c>
      <c r="J191" s="2" t="s">
        <v>29</v>
      </c>
      <c r="K191" s="2">
        <v>3</v>
      </c>
      <c r="L191" s="2">
        <f>COUNTIF(TableTransections[[#All],[Customer ID]],TableTransections[[#This Row],[Customer ID]])</f>
        <v>2</v>
      </c>
    </row>
    <row r="192" spans="1:12" x14ac:dyDescent="0.3">
      <c r="A192" s="2" t="s">
        <v>454</v>
      </c>
      <c r="B192" s="2" t="s">
        <v>402</v>
      </c>
      <c r="C192" s="2" t="s">
        <v>174</v>
      </c>
      <c r="D192" s="2" t="s">
        <v>27</v>
      </c>
      <c r="E192" s="2" t="s">
        <v>102</v>
      </c>
      <c r="F192" s="2">
        <v>7</v>
      </c>
      <c r="G192" s="2">
        <v>27241</v>
      </c>
      <c r="H192" s="2">
        <v>190687</v>
      </c>
      <c r="I192" s="2" t="s">
        <v>16</v>
      </c>
      <c r="J192" s="2" t="s">
        <v>65</v>
      </c>
      <c r="K192" s="2">
        <v>2</v>
      </c>
      <c r="L192" s="2">
        <f>COUNTIF(TableTransections[[#All],[Customer ID]],TableTransections[[#This Row],[Customer ID]])</f>
        <v>3</v>
      </c>
    </row>
    <row r="193" spans="1:12" x14ac:dyDescent="0.3">
      <c r="A193" s="2" t="s">
        <v>455</v>
      </c>
      <c r="B193" s="2" t="s">
        <v>456</v>
      </c>
      <c r="C193" s="2" t="s">
        <v>457</v>
      </c>
      <c r="D193" s="2" t="s">
        <v>14</v>
      </c>
      <c r="E193" s="2" t="s">
        <v>69</v>
      </c>
      <c r="F193" s="2">
        <v>4</v>
      </c>
      <c r="G193" s="2">
        <v>11758</v>
      </c>
      <c r="H193" s="2">
        <v>47032</v>
      </c>
      <c r="I193" s="2" t="s">
        <v>64</v>
      </c>
      <c r="J193" s="2" t="s">
        <v>17</v>
      </c>
      <c r="K193" s="2">
        <v>4</v>
      </c>
      <c r="L193" s="2">
        <f>COUNTIF(TableTransections[[#All],[Customer ID]],TableTransections[[#This Row],[Customer ID]])</f>
        <v>3</v>
      </c>
    </row>
    <row r="194" spans="1:12" x14ac:dyDescent="0.3">
      <c r="A194" s="2" t="s">
        <v>458</v>
      </c>
      <c r="B194" s="2" t="s">
        <v>344</v>
      </c>
      <c r="C194" s="2" t="s">
        <v>86</v>
      </c>
      <c r="D194" s="2" t="s">
        <v>56</v>
      </c>
      <c r="E194" s="2" t="s">
        <v>57</v>
      </c>
      <c r="F194" s="2">
        <v>7</v>
      </c>
      <c r="G194" s="2">
        <v>28536</v>
      </c>
      <c r="H194" s="2">
        <v>199752</v>
      </c>
      <c r="I194" s="2" t="s">
        <v>64</v>
      </c>
      <c r="J194" s="2" t="s">
        <v>136</v>
      </c>
      <c r="K194" s="2">
        <v>4</v>
      </c>
      <c r="L194" s="2">
        <f>COUNTIF(TableTransections[[#All],[Customer ID]],TableTransections[[#This Row],[Customer ID]])</f>
        <v>3</v>
      </c>
    </row>
    <row r="195" spans="1:12" x14ac:dyDescent="0.3">
      <c r="A195" s="2" t="s">
        <v>459</v>
      </c>
      <c r="B195" s="2" t="s">
        <v>389</v>
      </c>
      <c r="C195" s="2" t="s">
        <v>20</v>
      </c>
      <c r="D195" s="2" t="s">
        <v>56</v>
      </c>
      <c r="E195" s="2" t="s">
        <v>178</v>
      </c>
      <c r="F195" s="2">
        <v>9</v>
      </c>
      <c r="G195" s="2">
        <v>3279</v>
      </c>
      <c r="H195" s="2">
        <v>29511</v>
      </c>
      <c r="I195" s="2" t="s">
        <v>48</v>
      </c>
      <c r="J195" s="2" t="s">
        <v>29</v>
      </c>
      <c r="K195" s="2">
        <v>1</v>
      </c>
      <c r="L195" s="2">
        <f>COUNTIF(TableTransections[[#All],[Customer ID]],TableTransections[[#This Row],[Customer ID]])</f>
        <v>4</v>
      </c>
    </row>
    <row r="196" spans="1:12" x14ac:dyDescent="0.3">
      <c r="A196" s="2" t="s">
        <v>460</v>
      </c>
      <c r="B196" s="2" t="s">
        <v>89</v>
      </c>
      <c r="C196" s="2" t="s">
        <v>292</v>
      </c>
      <c r="D196" s="2" t="s">
        <v>27</v>
      </c>
      <c r="E196" s="2" t="s">
        <v>28</v>
      </c>
      <c r="F196" s="2">
        <v>10</v>
      </c>
      <c r="G196" s="2">
        <v>16626</v>
      </c>
      <c r="H196" s="2">
        <v>166260</v>
      </c>
      <c r="I196" s="2" t="s">
        <v>16</v>
      </c>
      <c r="J196" s="2" t="s">
        <v>52</v>
      </c>
      <c r="K196" s="2">
        <v>5</v>
      </c>
      <c r="L196" s="2">
        <f>COUNTIF(TableTransections[[#All],[Customer ID]],TableTransections[[#This Row],[Customer ID]])</f>
        <v>2</v>
      </c>
    </row>
    <row r="197" spans="1:12" x14ac:dyDescent="0.3">
      <c r="A197" s="2" t="s">
        <v>461</v>
      </c>
      <c r="B197" s="2" t="s">
        <v>462</v>
      </c>
      <c r="C197" s="2" t="s">
        <v>463</v>
      </c>
      <c r="D197" s="2" t="s">
        <v>42</v>
      </c>
      <c r="E197" s="2" t="s">
        <v>184</v>
      </c>
      <c r="F197" s="2">
        <v>9</v>
      </c>
      <c r="G197" s="2">
        <v>20461</v>
      </c>
      <c r="H197" s="2">
        <v>184149</v>
      </c>
      <c r="I197" s="2" t="s">
        <v>64</v>
      </c>
      <c r="J197" s="2" t="s">
        <v>44</v>
      </c>
      <c r="K197" s="2">
        <v>4</v>
      </c>
      <c r="L197" s="2">
        <f>COUNTIF(TableTransections[[#All],[Customer ID]],TableTransections[[#This Row],[Customer ID]])</f>
        <v>2</v>
      </c>
    </row>
    <row r="198" spans="1:12" x14ac:dyDescent="0.3">
      <c r="A198" s="2" t="s">
        <v>464</v>
      </c>
      <c r="B198" s="2" t="s">
        <v>462</v>
      </c>
      <c r="C198" s="2" t="s">
        <v>465</v>
      </c>
      <c r="D198" s="2" t="s">
        <v>14</v>
      </c>
      <c r="E198" s="2" t="s">
        <v>140</v>
      </c>
      <c r="F198" s="2">
        <v>8</v>
      </c>
      <c r="G198" s="2">
        <v>28304</v>
      </c>
      <c r="H198" s="2">
        <v>226432</v>
      </c>
      <c r="I198" s="2" t="s">
        <v>23</v>
      </c>
      <c r="J198" s="2" t="s">
        <v>136</v>
      </c>
      <c r="K198" s="2">
        <v>2</v>
      </c>
      <c r="L198" s="2">
        <f>COUNTIF(TableTransections[[#All],[Customer ID]],TableTransections[[#This Row],[Customer ID]])</f>
        <v>2</v>
      </c>
    </row>
    <row r="199" spans="1:12" x14ac:dyDescent="0.3">
      <c r="A199" s="2" t="s">
        <v>466</v>
      </c>
      <c r="B199" s="2" t="s">
        <v>237</v>
      </c>
      <c r="C199" s="2" t="s">
        <v>41</v>
      </c>
      <c r="D199" s="2" t="s">
        <v>56</v>
      </c>
      <c r="E199" s="2" t="s">
        <v>57</v>
      </c>
      <c r="F199" s="2">
        <v>10</v>
      </c>
      <c r="G199" s="2">
        <v>8600</v>
      </c>
      <c r="H199" s="2">
        <v>86000</v>
      </c>
      <c r="I199" s="2" t="s">
        <v>23</v>
      </c>
      <c r="J199" s="2" t="s">
        <v>65</v>
      </c>
      <c r="K199" s="2">
        <v>4</v>
      </c>
      <c r="L199" s="2">
        <f>COUNTIF(TableTransections[[#All],[Customer ID]],TableTransections[[#This Row],[Customer ID]])</f>
        <v>4</v>
      </c>
    </row>
    <row r="200" spans="1:12" x14ac:dyDescent="0.3">
      <c r="A200" s="2" t="s">
        <v>467</v>
      </c>
      <c r="B200" s="2" t="s">
        <v>468</v>
      </c>
      <c r="C200" s="2" t="s">
        <v>159</v>
      </c>
      <c r="D200" s="2" t="s">
        <v>56</v>
      </c>
      <c r="E200" s="2" t="s">
        <v>57</v>
      </c>
      <c r="F200" s="2">
        <v>4</v>
      </c>
      <c r="G200" s="2">
        <v>20721</v>
      </c>
      <c r="H200" s="2">
        <v>82884</v>
      </c>
      <c r="I200" s="2" t="s">
        <v>16</v>
      </c>
      <c r="J200" s="2" t="s">
        <v>44</v>
      </c>
      <c r="K200" s="2">
        <v>2</v>
      </c>
      <c r="L200" s="2">
        <f>COUNTIF(TableTransections[[#All],[Customer ID]],TableTransections[[#This Row],[Customer ID]])</f>
        <v>2</v>
      </c>
    </row>
    <row r="201" spans="1:12" x14ac:dyDescent="0.3">
      <c r="A201" s="2" t="s">
        <v>469</v>
      </c>
      <c r="B201" s="2" t="s">
        <v>470</v>
      </c>
      <c r="C201" s="2" t="s">
        <v>115</v>
      </c>
      <c r="D201" s="2" t="s">
        <v>56</v>
      </c>
      <c r="E201" s="2" t="s">
        <v>78</v>
      </c>
      <c r="F201" s="2">
        <v>7</v>
      </c>
      <c r="G201" s="2">
        <v>25127</v>
      </c>
      <c r="H201" s="2">
        <v>175889</v>
      </c>
      <c r="I201" s="2" t="s">
        <v>34</v>
      </c>
      <c r="J201" s="2" t="s">
        <v>52</v>
      </c>
      <c r="K201" s="2">
        <v>5</v>
      </c>
      <c r="L201" s="2">
        <f>COUNTIF(TableTransections[[#All],[Customer ID]],TableTransections[[#This Row],[Customer ID]])</f>
        <v>3</v>
      </c>
    </row>
    <row r="202" spans="1:12" x14ac:dyDescent="0.3">
      <c r="A202" s="2" t="s">
        <v>471</v>
      </c>
      <c r="B202" s="2" t="s">
        <v>193</v>
      </c>
      <c r="C202" s="2" t="s">
        <v>412</v>
      </c>
      <c r="D202" s="2" t="s">
        <v>21</v>
      </c>
      <c r="E202" s="2" t="s">
        <v>106</v>
      </c>
      <c r="F202" s="2">
        <v>7</v>
      </c>
      <c r="G202" s="2">
        <v>3522</v>
      </c>
      <c r="H202" s="2">
        <v>24654</v>
      </c>
      <c r="I202" s="2" t="s">
        <v>23</v>
      </c>
      <c r="J202" s="2" t="s">
        <v>70</v>
      </c>
      <c r="K202" s="2">
        <v>1</v>
      </c>
      <c r="L202" s="2">
        <f>COUNTIF(TableTransections[[#All],[Customer ID]],TableTransections[[#This Row],[Customer ID]])</f>
        <v>4</v>
      </c>
    </row>
    <row r="203" spans="1:12" x14ac:dyDescent="0.3">
      <c r="A203" s="2" t="s">
        <v>472</v>
      </c>
      <c r="B203" s="2" t="s">
        <v>350</v>
      </c>
      <c r="C203" s="2" t="s">
        <v>473</v>
      </c>
      <c r="D203" s="2" t="s">
        <v>21</v>
      </c>
      <c r="E203" s="2" t="s">
        <v>149</v>
      </c>
      <c r="F203" s="2">
        <v>4</v>
      </c>
      <c r="G203" s="2">
        <v>3876</v>
      </c>
      <c r="H203" s="2">
        <v>15504</v>
      </c>
      <c r="I203" s="2" t="s">
        <v>16</v>
      </c>
      <c r="J203" s="2" t="s">
        <v>150</v>
      </c>
      <c r="K203" s="2">
        <v>5</v>
      </c>
      <c r="L203" s="2">
        <f>COUNTIF(TableTransections[[#All],[Customer ID]],TableTransections[[#This Row],[Customer ID]])</f>
        <v>2</v>
      </c>
    </row>
    <row r="204" spans="1:12" x14ac:dyDescent="0.3">
      <c r="A204" s="2" t="s">
        <v>474</v>
      </c>
      <c r="B204" s="2" t="s">
        <v>270</v>
      </c>
      <c r="C204" s="2" t="s">
        <v>406</v>
      </c>
      <c r="D204" s="2" t="s">
        <v>42</v>
      </c>
      <c r="E204" s="2" t="s">
        <v>184</v>
      </c>
      <c r="F204" s="2">
        <v>9</v>
      </c>
      <c r="G204" s="2">
        <v>29582</v>
      </c>
      <c r="H204" s="2">
        <v>266238</v>
      </c>
      <c r="I204" s="2" t="s">
        <v>34</v>
      </c>
      <c r="J204" s="2" t="s">
        <v>29</v>
      </c>
      <c r="K204" s="2">
        <v>3</v>
      </c>
      <c r="L204" s="2">
        <f>COUNTIF(TableTransections[[#All],[Customer ID]],TableTransections[[#This Row],[Customer ID]])</f>
        <v>3</v>
      </c>
    </row>
    <row r="205" spans="1:12" x14ac:dyDescent="0.3">
      <c r="A205" s="2" t="s">
        <v>475</v>
      </c>
      <c r="B205" s="2" t="s">
        <v>97</v>
      </c>
      <c r="C205" s="2" t="s">
        <v>186</v>
      </c>
      <c r="D205" s="2" t="s">
        <v>27</v>
      </c>
      <c r="E205" s="2" t="s">
        <v>102</v>
      </c>
      <c r="F205" s="2">
        <v>3</v>
      </c>
      <c r="G205" s="2">
        <v>25570</v>
      </c>
      <c r="H205" s="2">
        <v>76710</v>
      </c>
      <c r="I205" s="2" t="s">
        <v>34</v>
      </c>
      <c r="J205" s="2" t="s">
        <v>29</v>
      </c>
      <c r="K205" s="2">
        <v>2</v>
      </c>
      <c r="L205" s="2">
        <f>COUNTIF(TableTransections[[#All],[Customer ID]],TableTransections[[#This Row],[Customer ID]])</f>
        <v>5</v>
      </c>
    </row>
    <row r="206" spans="1:12" x14ac:dyDescent="0.3">
      <c r="A206" s="2" t="s">
        <v>476</v>
      </c>
      <c r="B206" s="2" t="s">
        <v>372</v>
      </c>
      <c r="C206" s="2" t="s">
        <v>286</v>
      </c>
      <c r="D206" s="2" t="s">
        <v>56</v>
      </c>
      <c r="E206" s="2" t="s">
        <v>133</v>
      </c>
      <c r="F206" s="2">
        <v>5</v>
      </c>
      <c r="G206" s="2">
        <v>15486</v>
      </c>
      <c r="H206" s="2">
        <v>77430</v>
      </c>
      <c r="I206" s="2" t="s">
        <v>23</v>
      </c>
      <c r="J206" s="2" t="s">
        <v>17</v>
      </c>
      <c r="K206" s="2">
        <v>2</v>
      </c>
      <c r="L206" s="2">
        <f>COUNTIF(TableTransections[[#All],[Customer ID]],TableTransections[[#This Row],[Customer ID]])</f>
        <v>3</v>
      </c>
    </row>
    <row r="207" spans="1:12" x14ac:dyDescent="0.3">
      <c r="A207" s="2" t="s">
        <v>477</v>
      </c>
      <c r="B207" s="2" t="s">
        <v>432</v>
      </c>
      <c r="C207" s="2" t="s">
        <v>385</v>
      </c>
      <c r="D207" s="2" t="s">
        <v>42</v>
      </c>
      <c r="E207" s="2" t="s">
        <v>184</v>
      </c>
      <c r="F207" s="2">
        <v>10</v>
      </c>
      <c r="G207" s="2">
        <v>146</v>
      </c>
      <c r="H207" s="2">
        <v>1460</v>
      </c>
      <c r="I207" s="2" t="s">
        <v>23</v>
      </c>
      <c r="J207" s="2" t="s">
        <v>52</v>
      </c>
      <c r="K207" s="2">
        <v>3</v>
      </c>
      <c r="L207" s="2">
        <f>COUNTIF(TableTransections[[#All],[Customer ID]],TableTransections[[#This Row],[Customer ID]])</f>
        <v>4</v>
      </c>
    </row>
    <row r="208" spans="1:12" x14ac:dyDescent="0.3">
      <c r="A208" s="2" t="s">
        <v>478</v>
      </c>
      <c r="B208" s="2" t="s">
        <v>114</v>
      </c>
      <c r="C208" s="2" t="s">
        <v>444</v>
      </c>
      <c r="D208" s="2" t="s">
        <v>56</v>
      </c>
      <c r="E208" s="2" t="s">
        <v>133</v>
      </c>
      <c r="F208" s="2">
        <v>1</v>
      </c>
      <c r="G208" s="2">
        <v>11203</v>
      </c>
      <c r="H208" s="2">
        <v>11203</v>
      </c>
      <c r="I208" s="2" t="s">
        <v>16</v>
      </c>
      <c r="J208" s="2" t="s">
        <v>29</v>
      </c>
      <c r="K208" s="2">
        <v>5</v>
      </c>
      <c r="L208" s="2">
        <f>COUNTIF(TableTransections[[#All],[Customer ID]],TableTransections[[#This Row],[Customer ID]])</f>
        <v>6</v>
      </c>
    </row>
    <row r="209" spans="1:12" x14ac:dyDescent="0.3">
      <c r="A209" s="2" t="s">
        <v>479</v>
      </c>
      <c r="B209" s="2" t="s">
        <v>480</v>
      </c>
      <c r="C209" s="2" t="s">
        <v>77</v>
      </c>
      <c r="D209" s="2" t="s">
        <v>14</v>
      </c>
      <c r="E209" s="2" t="s">
        <v>69</v>
      </c>
      <c r="F209" s="2">
        <v>5</v>
      </c>
      <c r="G209" s="2">
        <v>29063</v>
      </c>
      <c r="H209" s="2">
        <v>145315</v>
      </c>
      <c r="I209" s="2" t="s">
        <v>34</v>
      </c>
      <c r="J209" s="2" t="s">
        <v>52</v>
      </c>
      <c r="K209" s="2">
        <v>2</v>
      </c>
      <c r="L209" s="2">
        <f>COUNTIF(TableTransections[[#All],[Customer ID]],TableTransections[[#This Row],[Customer ID]])</f>
        <v>1</v>
      </c>
    </row>
    <row r="210" spans="1:12" x14ac:dyDescent="0.3">
      <c r="A210" s="2" t="s">
        <v>481</v>
      </c>
      <c r="B210" s="2" t="s">
        <v>276</v>
      </c>
      <c r="C210" s="2" t="s">
        <v>482</v>
      </c>
      <c r="D210" s="2" t="s">
        <v>56</v>
      </c>
      <c r="E210" s="2" t="s">
        <v>133</v>
      </c>
      <c r="F210" s="2">
        <v>4</v>
      </c>
      <c r="G210" s="2">
        <v>23997</v>
      </c>
      <c r="H210" s="2">
        <v>95988</v>
      </c>
      <c r="I210" s="2" t="s">
        <v>64</v>
      </c>
      <c r="J210" s="2" t="s">
        <v>136</v>
      </c>
      <c r="K210" s="2">
        <v>3</v>
      </c>
      <c r="L210" s="2">
        <f>COUNTIF(TableTransections[[#All],[Customer ID]],TableTransections[[#This Row],[Customer ID]])</f>
        <v>4</v>
      </c>
    </row>
    <row r="211" spans="1:12" x14ac:dyDescent="0.3">
      <c r="A211" s="2" t="s">
        <v>483</v>
      </c>
      <c r="B211" s="2" t="s">
        <v>416</v>
      </c>
      <c r="C211" s="2" t="s">
        <v>484</v>
      </c>
      <c r="D211" s="2" t="s">
        <v>14</v>
      </c>
      <c r="E211" s="2" t="s">
        <v>15</v>
      </c>
      <c r="F211" s="2">
        <v>3</v>
      </c>
      <c r="G211" s="2">
        <v>375</v>
      </c>
      <c r="H211" s="2">
        <v>1125</v>
      </c>
      <c r="I211" s="2" t="s">
        <v>23</v>
      </c>
      <c r="J211" s="2" t="s">
        <v>91</v>
      </c>
      <c r="K211" s="2">
        <v>4</v>
      </c>
      <c r="L211" s="2">
        <f>COUNTIF(TableTransections[[#All],[Customer ID]],TableTransections[[#This Row],[Customer ID]])</f>
        <v>4</v>
      </c>
    </row>
    <row r="212" spans="1:12" x14ac:dyDescent="0.3">
      <c r="A212" s="2" t="s">
        <v>485</v>
      </c>
      <c r="B212" s="2" t="s">
        <v>188</v>
      </c>
      <c r="C212" s="2" t="s">
        <v>486</v>
      </c>
      <c r="D212" s="2" t="s">
        <v>42</v>
      </c>
      <c r="E212" s="2" t="s">
        <v>95</v>
      </c>
      <c r="F212" s="2">
        <v>9</v>
      </c>
      <c r="G212" s="2">
        <v>21176</v>
      </c>
      <c r="H212" s="2">
        <v>190584</v>
      </c>
      <c r="I212" s="2" t="s">
        <v>16</v>
      </c>
      <c r="J212" s="2" t="s">
        <v>29</v>
      </c>
      <c r="K212" s="2">
        <v>5</v>
      </c>
      <c r="L212" s="2">
        <f>COUNTIF(TableTransections[[#All],[Customer ID]],TableTransections[[#This Row],[Customer ID]])</f>
        <v>5</v>
      </c>
    </row>
    <row r="213" spans="1:12" x14ac:dyDescent="0.3">
      <c r="A213" s="2" t="s">
        <v>487</v>
      </c>
      <c r="B213" s="2" t="s">
        <v>80</v>
      </c>
      <c r="C213" s="2" t="s">
        <v>13</v>
      </c>
      <c r="D213" s="2" t="s">
        <v>27</v>
      </c>
      <c r="E213" s="2" t="s">
        <v>207</v>
      </c>
      <c r="F213" s="2">
        <v>7</v>
      </c>
      <c r="G213" s="2">
        <v>15878</v>
      </c>
      <c r="H213" s="2">
        <v>111146</v>
      </c>
      <c r="I213" s="2" t="s">
        <v>16</v>
      </c>
      <c r="J213" s="2" t="s">
        <v>52</v>
      </c>
      <c r="K213" s="2">
        <v>2</v>
      </c>
      <c r="L213" s="2">
        <f>COUNTIF(TableTransections[[#All],[Customer ID]],TableTransections[[#This Row],[Customer ID]])</f>
        <v>3</v>
      </c>
    </row>
    <row r="214" spans="1:12" x14ac:dyDescent="0.3">
      <c r="A214" s="2" t="s">
        <v>488</v>
      </c>
      <c r="B214" s="2" t="s">
        <v>76</v>
      </c>
      <c r="C214" s="2" t="s">
        <v>450</v>
      </c>
      <c r="D214" s="2" t="s">
        <v>21</v>
      </c>
      <c r="E214" s="2" t="s">
        <v>22</v>
      </c>
      <c r="F214" s="2">
        <v>1</v>
      </c>
      <c r="G214" s="2">
        <v>21663</v>
      </c>
      <c r="H214" s="2">
        <v>21663</v>
      </c>
      <c r="I214" s="2" t="s">
        <v>48</v>
      </c>
      <c r="J214" s="2" t="s">
        <v>150</v>
      </c>
      <c r="K214" s="2">
        <v>3</v>
      </c>
      <c r="L214" s="2">
        <f>COUNTIF(TableTransections[[#All],[Customer ID]],TableTransections[[#This Row],[Customer ID]])</f>
        <v>3</v>
      </c>
    </row>
    <row r="215" spans="1:12" x14ac:dyDescent="0.3">
      <c r="A215" s="2" t="s">
        <v>489</v>
      </c>
      <c r="B215" s="2" t="s">
        <v>470</v>
      </c>
      <c r="C215" s="2" t="s">
        <v>490</v>
      </c>
      <c r="D215" s="2" t="s">
        <v>56</v>
      </c>
      <c r="E215" s="2" t="s">
        <v>78</v>
      </c>
      <c r="F215" s="2">
        <v>8</v>
      </c>
      <c r="G215" s="2">
        <v>2066</v>
      </c>
      <c r="H215" s="2">
        <v>16528</v>
      </c>
      <c r="I215" s="2" t="s">
        <v>23</v>
      </c>
      <c r="J215" s="2" t="s">
        <v>52</v>
      </c>
      <c r="K215" s="2">
        <v>4</v>
      </c>
      <c r="L215" s="2">
        <f>COUNTIF(TableTransections[[#All],[Customer ID]],TableTransections[[#This Row],[Customer ID]])</f>
        <v>3</v>
      </c>
    </row>
    <row r="216" spans="1:12" x14ac:dyDescent="0.3">
      <c r="A216" s="2" t="s">
        <v>491</v>
      </c>
      <c r="B216" s="2" t="s">
        <v>232</v>
      </c>
      <c r="C216" s="2" t="s">
        <v>230</v>
      </c>
      <c r="D216" s="2" t="s">
        <v>56</v>
      </c>
      <c r="E216" s="2" t="s">
        <v>133</v>
      </c>
      <c r="F216" s="2">
        <v>10</v>
      </c>
      <c r="G216" s="2">
        <v>8400</v>
      </c>
      <c r="H216" s="2">
        <v>84000</v>
      </c>
      <c r="I216" s="2" t="s">
        <v>34</v>
      </c>
      <c r="J216" s="2" t="s">
        <v>29</v>
      </c>
      <c r="K216" s="2">
        <v>5</v>
      </c>
      <c r="L216" s="2">
        <f>COUNTIF(TableTransections[[#All],[Customer ID]],TableTransections[[#This Row],[Customer ID]])</f>
        <v>3</v>
      </c>
    </row>
    <row r="217" spans="1:12" x14ac:dyDescent="0.3">
      <c r="A217" s="2" t="s">
        <v>492</v>
      </c>
      <c r="B217" s="2" t="s">
        <v>432</v>
      </c>
      <c r="C217" s="2" t="s">
        <v>493</v>
      </c>
      <c r="D217" s="2" t="s">
        <v>42</v>
      </c>
      <c r="E217" s="2" t="s">
        <v>43</v>
      </c>
      <c r="F217" s="2">
        <v>6</v>
      </c>
      <c r="G217" s="2">
        <v>10441</v>
      </c>
      <c r="H217" s="2">
        <v>62646</v>
      </c>
      <c r="I217" s="2" t="s">
        <v>34</v>
      </c>
      <c r="J217" s="2" t="s">
        <v>65</v>
      </c>
      <c r="K217" s="2">
        <v>2</v>
      </c>
      <c r="L217" s="2">
        <f>COUNTIF(TableTransections[[#All],[Customer ID]],TableTransections[[#This Row],[Customer ID]])</f>
        <v>4</v>
      </c>
    </row>
    <row r="218" spans="1:12" x14ac:dyDescent="0.3">
      <c r="A218" s="2" t="s">
        <v>494</v>
      </c>
      <c r="B218" s="2" t="s">
        <v>495</v>
      </c>
      <c r="C218" s="2" t="s">
        <v>143</v>
      </c>
      <c r="D218" s="2" t="s">
        <v>42</v>
      </c>
      <c r="E218" s="2" t="s">
        <v>60</v>
      </c>
      <c r="F218" s="2">
        <v>8</v>
      </c>
      <c r="G218" s="2">
        <v>28287</v>
      </c>
      <c r="H218" s="2">
        <v>226296</v>
      </c>
      <c r="I218" s="2" t="s">
        <v>48</v>
      </c>
      <c r="J218" s="2" t="s">
        <v>150</v>
      </c>
      <c r="K218" s="2">
        <v>1</v>
      </c>
      <c r="L218" s="2">
        <f>COUNTIF(TableTransections[[#All],[Customer ID]],TableTransections[[#This Row],[Customer ID]])</f>
        <v>2</v>
      </c>
    </row>
    <row r="219" spans="1:12" x14ac:dyDescent="0.3">
      <c r="A219" s="2" t="s">
        <v>496</v>
      </c>
      <c r="B219" s="2" t="s">
        <v>443</v>
      </c>
      <c r="C219" s="2" t="s">
        <v>186</v>
      </c>
      <c r="D219" s="2" t="s">
        <v>56</v>
      </c>
      <c r="E219" s="2" t="s">
        <v>178</v>
      </c>
      <c r="F219" s="2">
        <v>1</v>
      </c>
      <c r="G219" s="2">
        <v>9506</v>
      </c>
      <c r="H219" s="2">
        <v>9506</v>
      </c>
      <c r="I219" s="2" t="s">
        <v>48</v>
      </c>
      <c r="J219" s="2" t="s">
        <v>70</v>
      </c>
      <c r="K219" s="2">
        <v>2</v>
      </c>
      <c r="L219" s="2">
        <f>COUNTIF(TableTransections[[#All],[Customer ID]],TableTransections[[#This Row],[Customer ID]])</f>
        <v>2</v>
      </c>
    </row>
    <row r="220" spans="1:12" x14ac:dyDescent="0.3">
      <c r="A220" s="2" t="s">
        <v>497</v>
      </c>
      <c r="B220" s="2" t="s">
        <v>495</v>
      </c>
      <c r="C220" s="2" t="s">
        <v>297</v>
      </c>
      <c r="D220" s="2" t="s">
        <v>14</v>
      </c>
      <c r="E220" s="2" t="s">
        <v>69</v>
      </c>
      <c r="F220" s="2">
        <v>5</v>
      </c>
      <c r="G220" s="2">
        <v>19863</v>
      </c>
      <c r="H220" s="2">
        <v>99315</v>
      </c>
      <c r="I220" s="2" t="s">
        <v>16</v>
      </c>
      <c r="J220" s="2" t="s">
        <v>29</v>
      </c>
      <c r="K220" s="2">
        <v>1</v>
      </c>
      <c r="L220" s="2">
        <f>COUNTIF(TableTransections[[#All],[Customer ID]],TableTransections[[#This Row],[Customer ID]])</f>
        <v>2</v>
      </c>
    </row>
    <row r="221" spans="1:12" x14ac:dyDescent="0.3">
      <c r="A221" s="2" t="s">
        <v>498</v>
      </c>
      <c r="B221" s="2" t="s">
        <v>409</v>
      </c>
      <c r="C221" s="2" t="s">
        <v>499</v>
      </c>
      <c r="D221" s="2" t="s">
        <v>42</v>
      </c>
      <c r="E221" s="2" t="s">
        <v>43</v>
      </c>
      <c r="F221" s="2">
        <v>9</v>
      </c>
      <c r="G221" s="2">
        <v>28523</v>
      </c>
      <c r="H221" s="2">
        <v>256707</v>
      </c>
      <c r="I221" s="2" t="s">
        <v>48</v>
      </c>
      <c r="J221" s="2" t="s">
        <v>52</v>
      </c>
      <c r="K221" s="2">
        <v>5</v>
      </c>
      <c r="L221" s="2">
        <f>COUNTIF(TableTransections[[#All],[Customer ID]],TableTransections[[#This Row],[Customer ID]])</f>
        <v>3</v>
      </c>
    </row>
    <row r="222" spans="1:12" x14ac:dyDescent="0.3">
      <c r="A222" s="2" t="s">
        <v>500</v>
      </c>
      <c r="B222" s="2" t="s">
        <v>19</v>
      </c>
      <c r="C222" s="2" t="s">
        <v>501</v>
      </c>
      <c r="D222" s="2" t="s">
        <v>56</v>
      </c>
      <c r="E222" s="2" t="s">
        <v>178</v>
      </c>
      <c r="F222" s="2">
        <v>7</v>
      </c>
      <c r="G222" s="2">
        <v>18277</v>
      </c>
      <c r="H222" s="2">
        <v>127939</v>
      </c>
      <c r="I222" s="2" t="s">
        <v>16</v>
      </c>
      <c r="J222" s="2" t="s">
        <v>52</v>
      </c>
      <c r="K222" s="2">
        <v>4</v>
      </c>
      <c r="L222" s="2">
        <f>COUNTIF(TableTransections[[#All],[Customer ID]],TableTransections[[#This Row],[Customer ID]])</f>
        <v>7</v>
      </c>
    </row>
    <row r="223" spans="1:12" x14ac:dyDescent="0.3">
      <c r="A223" s="2" t="s">
        <v>502</v>
      </c>
      <c r="B223" s="2" t="s">
        <v>394</v>
      </c>
      <c r="C223" s="2" t="s">
        <v>310</v>
      </c>
      <c r="D223" s="2" t="s">
        <v>56</v>
      </c>
      <c r="E223" s="2" t="s">
        <v>178</v>
      </c>
      <c r="F223" s="2">
        <v>5</v>
      </c>
      <c r="G223" s="2">
        <v>8618</v>
      </c>
      <c r="H223" s="2">
        <v>43090</v>
      </c>
      <c r="I223" s="2" t="s">
        <v>64</v>
      </c>
      <c r="J223" s="2" t="s">
        <v>70</v>
      </c>
      <c r="K223" s="2">
        <v>5</v>
      </c>
      <c r="L223" s="2">
        <f>COUNTIF(TableTransections[[#All],[Customer ID]],TableTransections[[#This Row],[Customer ID]])</f>
        <v>4</v>
      </c>
    </row>
    <row r="224" spans="1:12" x14ac:dyDescent="0.3">
      <c r="A224" s="2" t="s">
        <v>503</v>
      </c>
      <c r="B224" s="2" t="s">
        <v>152</v>
      </c>
      <c r="C224" s="2" t="s">
        <v>504</v>
      </c>
      <c r="D224" s="2" t="s">
        <v>21</v>
      </c>
      <c r="E224" s="2" t="s">
        <v>149</v>
      </c>
      <c r="F224" s="2">
        <v>1</v>
      </c>
      <c r="G224" s="2">
        <v>24092</v>
      </c>
      <c r="H224" s="2">
        <v>24092</v>
      </c>
      <c r="I224" s="2" t="s">
        <v>23</v>
      </c>
      <c r="J224" s="2" t="s">
        <v>65</v>
      </c>
      <c r="K224" s="2">
        <v>1</v>
      </c>
      <c r="L224" s="2">
        <f>COUNTIF(TableTransections[[#All],[Customer ID]],TableTransections[[#This Row],[Customer ID]])</f>
        <v>3</v>
      </c>
    </row>
    <row r="225" spans="1:12" x14ac:dyDescent="0.3">
      <c r="A225" s="2" t="s">
        <v>505</v>
      </c>
      <c r="B225" s="2" t="s">
        <v>281</v>
      </c>
      <c r="C225" s="2" t="s">
        <v>301</v>
      </c>
      <c r="D225" s="2" t="s">
        <v>42</v>
      </c>
      <c r="E225" s="2" t="s">
        <v>43</v>
      </c>
      <c r="F225" s="2">
        <v>7</v>
      </c>
      <c r="G225" s="2">
        <v>29209</v>
      </c>
      <c r="H225" s="2">
        <v>204463</v>
      </c>
      <c r="I225" s="2" t="s">
        <v>64</v>
      </c>
      <c r="J225" s="2" t="s">
        <v>150</v>
      </c>
      <c r="K225" s="2">
        <v>4</v>
      </c>
      <c r="L225" s="2">
        <f>COUNTIF(TableTransections[[#All],[Customer ID]],TableTransections[[#This Row],[Customer ID]])</f>
        <v>3</v>
      </c>
    </row>
    <row r="226" spans="1:12" x14ac:dyDescent="0.3">
      <c r="A226" s="2" t="s">
        <v>506</v>
      </c>
      <c r="B226" s="2" t="s">
        <v>299</v>
      </c>
      <c r="C226" s="2" t="s">
        <v>284</v>
      </c>
      <c r="D226" s="2" t="s">
        <v>42</v>
      </c>
      <c r="E226" s="2" t="s">
        <v>43</v>
      </c>
      <c r="F226" s="2">
        <v>1</v>
      </c>
      <c r="G226" s="2">
        <v>5803</v>
      </c>
      <c r="H226" s="2">
        <v>5803</v>
      </c>
      <c r="I226" s="2" t="s">
        <v>23</v>
      </c>
      <c r="J226" s="2" t="s">
        <v>17</v>
      </c>
      <c r="K226" s="2">
        <v>5</v>
      </c>
      <c r="L226" s="2">
        <f>COUNTIF(TableTransections[[#All],[Customer ID]],TableTransections[[#This Row],[Customer ID]])</f>
        <v>4</v>
      </c>
    </row>
    <row r="227" spans="1:12" x14ac:dyDescent="0.3">
      <c r="A227" s="2" t="s">
        <v>507</v>
      </c>
      <c r="B227" s="2" t="s">
        <v>97</v>
      </c>
      <c r="C227" s="2" t="s">
        <v>202</v>
      </c>
      <c r="D227" s="2" t="s">
        <v>21</v>
      </c>
      <c r="E227" s="2" t="s">
        <v>74</v>
      </c>
      <c r="F227" s="2">
        <v>5</v>
      </c>
      <c r="G227" s="2">
        <v>1383</v>
      </c>
      <c r="H227" s="2">
        <v>6915</v>
      </c>
      <c r="I227" s="2" t="s">
        <v>23</v>
      </c>
      <c r="J227" s="2" t="s">
        <v>35</v>
      </c>
      <c r="K227" s="2">
        <v>4</v>
      </c>
      <c r="L227" s="2">
        <f>COUNTIF(TableTransections[[#All],[Customer ID]],TableTransections[[#This Row],[Customer ID]])</f>
        <v>5</v>
      </c>
    </row>
    <row r="228" spans="1:12" x14ac:dyDescent="0.3">
      <c r="A228" s="2" t="s">
        <v>508</v>
      </c>
      <c r="B228" s="2" t="s">
        <v>509</v>
      </c>
      <c r="C228" s="2" t="s">
        <v>206</v>
      </c>
      <c r="D228" s="2" t="s">
        <v>56</v>
      </c>
      <c r="E228" s="2" t="s">
        <v>178</v>
      </c>
      <c r="F228" s="2">
        <v>3</v>
      </c>
      <c r="G228" s="2">
        <v>8890</v>
      </c>
      <c r="H228" s="2">
        <v>26670</v>
      </c>
      <c r="I228" s="2" t="s">
        <v>64</v>
      </c>
      <c r="J228" s="2" t="s">
        <v>44</v>
      </c>
      <c r="K228" s="2">
        <v>1</v>
      </c>
      <c r="L228" s="2">
        <f>COUNTIF(TableTransections[[#All],[Customer ID]],TableTransections[[#This Row],[Customer ID]])</f>
        <v>1</v>
      </c>
    </row>
    <row r="229" spans="1:12" x14ac:dyDescent="0.3">
      <c r="A229" s="2" t="s">
        <v>510</v>
      </c>
      <c r="B229" s="2" t="s">
        <v>145</v>
      </c>
      <c r="C229" s="2" t="s">
        <v>511</v>
      </c>
      <c r="D229" s="2" t="s">
        <v>27</v>
      </c>
      <c r="E229" s="2" t="s">
        <v>207</v>
      </c>
      <c r="F229" s="2">
        <v>8</v>
      </c>
      <c r="G229" s="2">
        <v>8153</v>
      </c>
      <c r="H229" s="2">
        <v>65224</v>
      </c>
      <c r="I229" s="2" t="s">
        <v>48</v>
      </c>
      <c r="J229" s="2" t="s">
        <v>35</v>
      </c>
      <c r="K229" s="2">
        <v>3</v>
      </c>
      <c r="L229" s="2">
        <f>COUNTIF(TableTransections[[#All],[Customer ID]],TableTransections[[#This Row],[Customer ID]])</f>
        <v>4</v>
      </c>
    </row>
    <row r="230" spans="1:12" x14ac:dyDescent="0.3">
      <c r="A230" s="2" t="s">
        <v>512</v>
      </c>
      <c r="B230" s="2" t="s">
        <v>513</v>
      </c>
      <c r="C230" s="2" t="s">
        <v>514</v>
      </c>
      <c r="D230" s="2" t="s">
        <v>21</v>
      </c>
      <c r="E230" s="2" t="s">
        <v>74</v>
      </c>
      <c r="F230" s="2">
        <v>8</v>
      </c>
      <c r="G230" s="2">
        <v>1533</v>
      </c>
      <c r="H230" s="2">
        <v>12264</v>
      </c>
      <c r="I230" s="2" t="s">
        <v>48</v>
      </c>
      <c r="J230" s="2" t="s">
        <v>52</v>
      </c>
      <c r="K230" s="2">
        <v>3</v>
      </c>
      <c r="L230" s="2">
        <f>COUNTIF(TableTransections[[#All],[Customer ID]],TableTransections[[#This Row],[Customer ID]])</f>
        <v>1</v>
      </c>
    </row>
    <row r="231" spans="1:12" x14ac:dyDescent="0.3">
      <c r="A231" s="2" t="s">
        <v>515</v>
      </c>
      <c r="B231" s="2" t="s">
        <v>354</v>
      </c>
      <c r="C231" s="2" t="s">
        <v>161</v>
      </c>
      <c r="D231" s="2" t="s">
        <v>27</v>
      </c>
      <c r="E231" s="2" t="s">
        <v>207</v>
      </c>
      <c r="F231" s="2">
        <v>6</v>
      </c>
      <c r="G231" s="2">
        <v>23287</v>
      </c>
      <c r="H231" s="2">
        <v>139722</v>
      </c>
      <c r="I231" s="2" t="s">
        <v>48</v>
      </c>
      <c r="J231" s="2" t="s">
        <v>150</v>
      </c>
      <c r="K231" s="2">
        <v>5</v>
      </c>
      <c r="L231" s="2">
        <f>COUNTIF(TableTransections[[#All],[Customer ID]],TableTransections[[#This Row],[Customer ID]])</f>
        <v>2</v>
      </c>
    </row>
    <row r="232" spans="1:12" x14ac:dyDescent="0.3">
      <c r="A232" s="2" t="s">
        <v>516</v>
      </c>
      <c r="B232" s="2" t="s">
        <v>169</v>
      </c>
      <c r="C232" s="2" t="s">
        <v>399</v>
      </c>
      <c r="D232" s="2" t="s">
        <v>56</v>
      </c>
      <c r="E232" s="2" t="s">
        <v>78</v>
      </c>
      <c r="F232" s="2">
        <v>2</v>
      </c>
      <c r="G232" s="2">
        <v>9611</v>
      </c>
      <c r="H232" s="2">
        <v>19222</v>
      </c>
      <c r="I232" s="2" t="s">
        <v>34</v>
      </c>
      <c r="J232" s="2" t="s">
        <v>35</v>
      </c>
      <c r="K232" s="2">
        <v>2</v>
      </c>
      <c r="L232" s="2">
        <f>COUNTIF(TableTransections[[#All],[Customer ID]],TableTransections[[#This Row],[Customer ID]])</f>
        <v>3</v>
      </c>
    </row>
    <row r="233" spans="1:12" x14ac:dyDescent="0.3">
      <c r="A233" s="2" t="s">
        <v>517</v>
      </c>
      <c r="B233" s="2" t="s">
        <v>344</v>
      </c>
      <c r="C233" s="2" t="s">
        <v>374</v>
      </c>
      <c r="D233" s="2" t="s">
        <v>42</v>
      </c>
      <c r="E233" s="2" t="s">
        <v>43</v>
      </c>
      <c r="F233" s="2">
        <v>8</v>
      </c>
      <c r="G233" s="2">
        <v>4126</v>
      </c>
      <c r="H233" s="2">
        <v>33008</v>
      </c>
      <c r="I233" s="2" t="s">
        <v>48</v>
      </c>
      <c r="J233" s="2" t="s">
        <v>35</v>
      </c>
      <c r="K233" s="2">
        <v>2</v>
      </c>
      <c r="L233" s="2">
        <f>COUNTIF(TableTransections[[#All],[Customer ID]],TableTransections[[#This Row],[Customer ID]])</f>
        <v>3</v>
      </c>
    </row>
    <row r="234" spans="1:12" x14ac:dyDescent="0.3">
      <c r="A234" s="2" t="s">
        <v>518</v>
      </c>
      <c r="B234" s="2" t="s">
        <v>519</v>
      </c>
      <c r="C234" s="2" t="s">
        <v>274</v>
      </c>
      <c r="D234" s="2" t="s">
        <v>56</v>
      </c>
      <c r="E234" s="2" t="s">
        <v>78</v>
      </c>
      <c r="F234" s="2">
        <v>6</v>
      </c>
      <c r="G234" s="2">
        <v>9454</v>
      </c>
      <c r="H234" s="2">
        <v>56724</v>
      </c>
      <c r="I234" s="2" t="s">
        <v>48</v>
      </c>
      <c r="J234" s="2" t="s">
        <v>91</v>
      </c>
      <c r="K234" s="2">
        <v>4</v>
      </c>
      <c r="L234" s="2">
        <f>COUNTIF(TableTransections[[#All],[Customer ID]],TableTransections[[#This Row],[Customer ID]])</f>
        <v>3</v>
      </c>
    </row>
    <row r="235" spans="1:12" x14ac:dyDescent="0.3">
      <c r="A235" s="2" t="s">
        <v>520</v>
      </c>
      <c r="B235" s="2" t="s">
        <v>376</v>
      </c>
      <c r="C235" s="2" t="s">
        <v>313</v>
      </c>
      <c r="D235" s="2" t="s">
        <v>21</v>
      </c>
      <c r="E235" s="2" t="s">
        <v>149</v>
      </c>
      <c r="F235" s="2">
        <v>1</v>
      </c>
      <c r="G235" s="2">
        <v>29637</v>
      </c>
      <c r="H235" s="2">
        <v>29637</v>
      </c>
      <c r="I235" s="2" t="s">
        <v>64</v>
      </c>
      <c r="J235" s="2" t="s">
        <v>65</v>
      </c>
      <c r="K235" s="2">
        <v>5</v>
      </c>
      <c r="L235" s="2">
        <f>COUNTIF(TableTransections[[#All],[Customer ID]],TableTransections[[#This Row],[Customer ID]])</f>
        <v>2</v>
      </c>
    </row>
    <row r="236" spans="1:12" x14ac:dyDescent="0.3">
      <c r="A236" s="2" t="s">
        <v>521</v>
      </c>
      <c r="B236" s="2" t="s">
        <v>312</v>
      </c>
      <c r="C236" s="2" t="s">
        <v>522</v>
      </c>
      <c r="D236" s="2" t="s">
        <v>56</v>
      </c>
      <c r="E236" s="2" t="s">
        <v>78</v>
      </c>
      <c r="F236" s="2">
        <v>3</v>
      </c>
      <c r="G236" s="2">
        <v>20072</v>
      </c>
      <c r="H236" s="2">
        <v>60216</v>
      </c>
      <c r="I236" s="2" t="s">
        <v>34</v>
      </c>
      <c r="J236" s="2" t="s">
        <v>150</v>
      </c>
      <c r="K236" s="2">
        <v>3</v>
      </c>
      <c r="L236" s="2">
        <f>COUNTIF(TableTransections[[#All],[Customer ID]],TableTransections[[#This Row],[Customer ID]])</f>
        <v>4</v>
      </c>
    </row>
    <row r="237" spans="1:12" x14ac:dyDescent="0.3">
      <c r="A237" s="2" t="s">
        <v>523</v>
      </c>
      <c r="B237" s="2" t="s">
        <v>394</v>
      </c>
      <c r="C237" s="2" t="s">
        <v>196</v>
      </c>
      <c r="D237" s="2" t="s">
        <v>14</v>
      </c>
      <c r="E237" s="2" t="s">
        <v>69</v>
      </c>
      <c r="F237" s="2">
        <v>3</v>
      </c>
      <c r="G237" s="2">
        <v>18250</v>
      </c>
      <c r="H237" s="2">
        <v>54750</v>
      </c>
      <c r="I237" s="2" t="s">
        <v>34</v>
      </c>
      <c r="J237" s="2" t="s">
        <v>35</v>
      </c>
      <c r="K237" s="2">
        <v>4</v>
      </c>
      <c r="L237" s="2">
        <f>COUNTIF(TableTransections[[#All],[Customer ID]],TableTransections[[#This Row],[Customer ID]])</f>
        <v>4</v>
      </c>
    </row>
    <row r="238" spans="1:12" x14ac:dyDescent="0.3">
      <c r="A238" s="2" t="s">
        <v>524</v>
      </c>
      <c r="B238" s="2" t="s">
        <v>188</v>
      </c>
      <c r="C238" s="2" t="s">
        <v>183</v>
      </c>
      <c r="D238" s="2" t="s">
        <v>56</v>
      </c>
      <c r="E238" s="2" t="s">
        <v>133</v>
      </c>
      <c r="F238" s="2">
        <v>6</v>
      </c>
      <c r="G238" s="2">
        <v>12883</v>
      </c>
      <c r="H238" s="2">
        <v>77298</v>
      </c>
      <c r="I238" s="2" t="s">
        <v>23</v>
      </c>
      <c r="J238" s="2" t="s">
        <v>91</v>
      </c>
      <c r="K238" s="2">
        <v>2</v>
      </c>
      <c r="L238" s="2">
        <f>COUNTIF(TableTransections[[#All],[Customer ID]],TableTransections[[#This Row],[Customer ID]])</f>
        <v>5</v>
      </c>
    </row>
    <row r="239" spans="1:12" x14ac:dyDescent="0.3">
      <c r="A239" s="2" t="s">
        <v>525</v>
      </c>
      <c r="B239" s="2" t="s">
        <v>296</v>
      </c>
      <c r="C239" s="2" t="s">
        <v>526</v>
      </c>
      <c r="D239" s="2" t="s">
        <v>14</v>
      </c>
      <c r="E239" s="2" t="s">
        <v>69</v>
      </c>
      <c r="F239" s="2">
        <v>6</v>
      </c>
      <c r="G239" s="2">
        <v>19408</v>
      </c>
      <c r="H239" s="2">
        <v>116448</v>
      </c>
      <c r="I239" s="2" t="s">
        <v>23</v>
      </c>
      <c r="J239" s="2" t="s">
        <v>136</v>
      </c>
      <c r="K239" s="2">
        <v>5</v>
      </c>
      <c r="L239" s="2">
        <f>COUNTIF(TableTransections[[#All],[Customer ID]],TableTransections[[#This Row],[Customer ID]])</f>
        <v>3</v>
      </c>
    </row>
    <row r="240" spans="1:12" x14ac:dyDescent="0.3">
      <c r="A240" s="2" t="s">
        <v>527</v>
      </c>
      <c r="B240" s="2" t="s">
        <v>155</v>
      </c>
      <c r="C240" s="2" t="s">
        <v>528</v>
      </c>
      <c r="D240" s="2" t="s">
        <v>42</v>
      </c>
      <c r="E240" s="2" t="s">
        <v>95</v>
      </c>
      <c r="F240" s="2">
        <v>6</v>
      </c>
      <c r="G240" s="2">
        <v>16521</v>
      </c>
      <c r="H240" s="2">
        <v>99126</v>
      </c>
      <c r="I240" s="2" t="s">
        <v>64</v>
      </c>
      <c r="J240" s="2" t="s">
        <v>52</v>
      </c>
      <c r="K240" s="2">
        <v>5</v>
      </c>
      <c r="L240" s="2">
        <f>COUNTIF(TableTransections[[#All],[Customer ID]],TableTransections[[#This Row],[Customer ID]])</f>
        <v>5</v>
      </c>
    </row>
    <row r="241" spans="1:12" x14ac:dyDescent="0.3">
      <c r="A241" s="2" t="s">
        <v>529</v>
      </c>
      <c r="B241" s="2" t="s">
        <v>255</v>
      </c>
      <c r="C241" s="2" t="s">
        <v>250</v>
      </c>
      <c r="D241" s="2" t="s">
        <v>14</v>
      </c>
      <c r="E241" s="2" t="s">
        <v>167</v>
      </c>
      <c r="F241" s="2">
        <v>6</v>
      </c>
      <c r="G241" s="2">
        <v>23816</v>
      </c>
      <c r="H241" s="2">
        <v>142896</v>
      </c>
      <c r="I241" s="2" t="s">
        <v>16</v>
      </c>
      <c r="J241" s="2" t="s">
        <v>52</v>
      </c>
      <c r="K241" s="2">
        <v>3</v>
      </c>
      <c r="L241" s="2">
        <f>COUNTIF(TableTransections[[#All],[Customer ID]],TableTransections[[#This Row],[Customer ID]])</f>
        <v>6</v>
      </c>
    </row>
    <row r="242" spans="1:12" x14ac:dyDescent="0.3">
      <c r="A242" s="2" t="s">
        <v>530</v>
      </c>
      <c r="B242" s="2" t="s">
        <v>163</v>
      </c>
      <c r="C242" s="2" t="s">
        <v>531</v>
      </c>
      <c r="D242" s="2" t="s">
        <v>21</v>
      </c>
      <c r="E242" s="2" t="s">
        <v>149</v>
      </c>
      <c r="F242" s="2">
        <v>5</v>
      </c>
      <c r="G242" s="2">
        <v>26101</v>
      </c>
      <c r="H242" s="2">
        <v>130505</v>
      </c>
      <c r="I242" s="2" t="s">
        <v>64</v>
      </c>
      <c r="J242" s="2" t="s">
        <v>29</v>
      </c>
      <c r="K242" s="2">
        <v>5</v>
      </c>
      <c r="L242" s="2">
        <f>COUNTIF(TableTransections[[#All],[Customer ID]],TableTransections[[#This Row],[Customer ID]])</f>
        <v>6</v>
      </c>
    </row>
    <row r="243" spans="1:12" x14ac:dyDescent="0.3">
      <c r="A243" s="2" t="s">
        <v>532</v>
      </c>
      <c r="B243" s="2" t="s">
        <v>519</v>
      </c>
      <c r="C243" s="2" t="s">
        <v>316</v>
      </c>
      <c r="D243" s="2" t="s">
        <v>14</v>
      </c>
      <c r="E243" s="2" t="s">
        <v>167</v>
      </c>
      <c r="F243" s="2">
        <v>1</v>
      </c>
      <c r="G243" s="2">
        <v>15325</v>
      </c>
      <c r="H243" s="2">
        <v>15325</v>
      </c>
      <c r="I243" s="2" t="s">
        <v>34</v>
      </c>
      <c r="J243" s="2" t="s">
        <v>91</v>
      </c>
      <c r="K243" s="2">
        <v>5</v>
      </c>
      <c r="L243" s="2">
        <f>COUNTIF(TableTransections[[#All],[Customer ID]],TableTransections[[#This Row],[Customer ID]])</f>
        <v>3</v>
      </c>
    </row>
    <row r="244" spans="1:12" x14ac:dyDescent="0.3">
      <c r="A244" s="2" t="s">
        <v>533</v>
      </c>
      <c r="B244" s="2" t="s">
        <v>201</v>
      </c>
      <c r="C244" s="2" t="s">
        <v>174</v>
      </c>
      <c r="D244" s="2" t="s">
        <v>14</v>
      </c>
      <c r="E244" s="2" t="s">
        <v>15</v>
      </c>
      <c r="F244" s="2">
        <v>3</v>
      </c>
      <c r="G244" s="2">
        <v>2968</v>
      </c>
      <c r="H244" s="2">
        <v>8904</v>
      </c>
      <c r="I244" s="2" t="s">
        <v>64</v>
      </c>
      <c r="J244" s="2" t="s">
        <v>44</v>
      </c>
      <c r="K244" s="2">
        <v>3</v>
      </c>
      <c r="L244" s="2">
        <f>COUNTIF(TableTransections[[#All],[Customer ID]],TableTransections[[#This Row],[Customer ID]])</f>
        <v>3</v>
      </c>
    </row>
    <row r="245" spans="1:12" x14ac:dyDescent="0.3">
      <c r="A245" s="2" t="s">
        <v>534</v>
      </c>
      <c r="B245" s="2" t="s">
        <v>535</v>
      </c>
      <c r="C245" s="2" t="s">
        <v>499</v>
      </c>
      <c r="D245" s="2" t="s">
        <v>27</v>
      </c>
      <c r="E245" s="2" t="s">
        <v>207</v>
      </c>
      <c r="F245" s="2">
        <v>4</v>
      </c>
      <c r="G245" s="2">
        <v>634</v>
      </c>
      <c r="H245" s="2">
        <v>2536</v>
      </c>
      <c r="I245" s="2" t="s">
        <v>23</v>
      </c>
      <c r="J245" s="2" t="s">
        <v>35</v>
      </c>
      <c r="K245" s="2">
        <v>2</v>
      </c>
      <c r="L245" s="2">
        <f>COUNTIF(TableTransections[[#All],[Customer ID]],TableTransections[[#This Row],[Customer ID]])</f>
        <v>1</v>
      </c>
    </row>
    <row r="246" spans="1:12" x14ac:dyDescent="0.3">
      <c r="A246" s="2" t="s">
        <v>536</v>
      </c>
      <c r="B246" s="2" t="s">
        <v>537</v>
      </c>
      <c r="C246" s="2" t="s">
        <v>406</v>
      </c>
      <c r="D246" s="2" t="s">
        <v>42</v>
      </c>
      <c r="E246" s="2" t="s">
        <v>184</v>
      </c>
      <c r="F246" s="2">
        <v>10</v>
      </c>
      <c r="G246" s="2">
        <v>8386</v>
      </c>
      <c r="H246" s="2">
        <v>83860</v>
      </c>
      <c r="I246" s="2" t="s">
        <v>23</v>
      </c>
      <c r="J246" s="2" t="s">
        <v>29</v>
      </c>
      <c r="K246" s="2">
        <v>3</v>
      </c>
      <c r="L246" s="2">
        <f>COUNTIF(TableTransections[[#All],[Customer ID]],TableTransections[[#This Row],[Customer ID]])</f>
        <v>1</v>
      </c>
    </row>
    <row r="247" spans="1:12" x14ac:dyDescent="0.3">
      <c r="A247" s="2" t="s">
        <v>538</v>
      </c>
      <c r="B247" s="2" t="s">
        <v>468</v>
      </c>
      <c r="C247" s="2" t="s">
        <v>330</v>
      </c>
      <c r="D247" s="2" t="s">
        <v>42</v>
      </c>
      <c r="E247" s="2" t="s">
        <v>95</v>
      </c>
      <c r="F247" s="2">
        <v>5</v>
      </c>
      <c r="G247" s="2">
        <v>21330</v>
      </c>
      <c r="H247" s="2">
        <v>106650</v>
      </c>
      <c r="I247" s="2" t="s">
        <v>23</v>
      </c>
      <c r="J247" s="2" t="s">
        <v>17</v>
      </c>
      <c r="K247" s="2">
        <v>3</v>
      </c>
      <c r="L247" s="2">
        <f>COUNTIF(TableTransections[[#All],[Customer ID]],TableTransections[[#This Row],[Customer ID]])</f>
        <v>2</v>
      </c>
    </row>
    <row r="248" spans="1:12" x14ac:dyDescent="0.3">
      <c r="A248" s="2" t="s">
        <v>539</v>
      </c>
      <c r="B248" s="2" t="s">
        <v>176</v>
      </c>
      <c r="C248" s="2" t="s">
        <v>319</v>
      </c>
      <c r="D248" s="2" t="s">
        <v>14</v>
      </c>
      <c r="E248" s="2" t="s">
        <v>69</v>
      </c>
      <c r="F248" s="2">
        <v>4</v>
      </c>
      <c r="G248" s="2">
        <v>2804</v>
      </c>
      <c r="H248" s="2">
        <v>11216</v>
      </c>
      <c r="I248" s="2" t="s">
        <v>34</v>
      </c>
      <c r="J248" s="2" t="s">
        <v>35</v>
      </c>
      <c r="K248" s="2">
        <v>1</v>
      </c>
      <c r="L248" s="2">
        <f>COUNTIF(TableTransections[[#All],[Customer ID]],TableTransections[[#This Row],[Customer ID]])</f>
        <v>4</v>
      </c>
    </row>
    <row r="249" spans="1:12" x14ac:dyDescent="0.3">
      <c r="A249" s="2" t="s">
        <v>540</v>
      </c>
      <c r="B249" s="2" t="s">
        <v>299</v>
      </c>
      <c r="C249" s="2" t="s">
        <v>313</v>
      </c>
      <c r="D249" s="2" t="s">
        <v>21</v>
      </c>
      <c r="E249" s="2" t="s">
        <v>149</v>
      </c>
      <c r="F249" s="2">
        <v>4</v>
      </c>
      <c r="G249" s="2">
        <v>2304</v>
      </c>
      <c r="H249" s="2">
        <v>9216</v>
      </c>
      <c r="I249" s="2" t="s">
        <v>16</v>
      </c>
      <c r="J249" s="2" t="s">
        <v>70</v>
      </c>
      <c r="K249" s="2">
        <v>5</v>
      </c>
      <c r="L249" s="2">
        <f>COUNTIF(TableTransections[[#All],[Customer ID]],TableTransections[[#This Row],[Customer ID]])</f>
        <v>4</v>
      </c>
    </row>
    <row r="250" spans="1:12" x14ac:dyDescent="0.3">
      <c r="A250" s="2" t="s">
        <v>541</v>
      </c>
      <c r="B250" s="2" t="s">
        <v>135</v>
      </c>
      <c r="C250" s="2" t="s">
        <v>256</v>
      </c>
      <c r="D250" s="2" t="s">
        <v>21</v>
      </c>
      <c r="E250" s="2" t="s">
        <v>74</v>
      </c>
      <c r="F250" s="2">
        <v>9</v>
      </c>
      <c r="G250" s="2">
        <v>25895</v>
      </c>
      <c r="H250" s="2">
        <v>233055</v>
      </c>
      <c r="I250" s="2" t="s">
        <v>34</v>
      </c>
      <c r="J250" s="2" t="s">
        <v>150</v>
      </c>
      <c r="K250" s="2">
        <v>3</v>
      </c>
      <c r="L250" s="2">
        <f>COUNTIF(TableTransections[[#All],[Customer ID]],TableTransections[[#This Row],[Customer ID]])</f>
        <v>5</v>
      </c>
    </row>
    <row r="251" spans="1:12" x14ac:dyDescent="0.3">
      <c r="A251" s="2" t="s">
        <v>542</v>
      </c>
      <c r="B251" s="2" t="s">
        <v>67</v>
      </c>
      <c r="C251" s="2" t="s">
        <v>457</v>
      </c>
      <c r="D251" s="2" t="s">
        <v>56</v>
      </c>
      <c r="E251" s="2" t="s">
        <v>57</v>
      </c>
      <c r="F251" s="2">
        <v>7</v>
      </c>
      <c r="G251" s="2">
        <v>11084</v>
      </c>
      <c r="H251" s="2">
        <v>77588</v>
      </c>
      <c r="I251" s="2" t="s">
        <v>23</v>
      </c>
      <c r="J251" s="2" t="s">
        <v>150</v>
      </c>
      <c r="K251" s="2">
        <v>2</v>
      </c>
      <c r="L251" s="2">
        <f>COUNTIF(TableTransections[[#All],[Customer ID]],TableTransections[[#This Row],[Customer ID]])</f>
        <v>6</v>
      </c>
    </row>
    <row r="252" spans="1:12" x14ac:dyDescent="0.3">
      <c r="A252" s="2" t="s">
        <v>543</v>
      </c>
      <c r="B252" s="2" t="s">
        <v>50</v>
      </c>
      <c r="C252" s="2" t="s">
        <v>544</v>
      </c>
      <c r="D252" s="2" t="s">
        <v>42</v>
      </c>
      <c r="E252" s="2" t="s">
        <v>43</v>
      </c>
      <c r="F252" s="2">
        <v>2</v>
      </c>
      <c r="G252" s="2">
        <v>29775</v>
      </c>
      <c r="H252" s="2">
        <v>59550</v>
      </c>
      <c r="I252" s="2" t="s">
        <v>64</v>
      </c>
      <c r="J252" s="2" t="s">
        <v>29</v>
      </c>
      <c r="K252" s="2">
        <v>5</v>
      </c>
      <c r="L252" s="2">
        <f>COUNTIF(TableTransections[[#All],[Customer ID]],TableTransections[[#This Row],[Customer ID]])</f>
        <v>4</v>
      </c>
    </row>
    <row r="253" spans="1:12" x14ac:dyDescent="0.3">
      <c r="A253" s="2" t="s">
        <v>545</v>
      </c>
      <c r="B253" s="2" t="s">
        <v>130</v>
      </c>
      <c r="C253" s="2" t="s">
        <v>156</v>
      </c>
      <c r="D253" s="2" t="s">
        <v>14</v>
      </c>
      <c r="E253" s="2" t="s">
        <v>69</v>
      </c>
      <c r="F253" s="2">
        <v>6</v>
      </c>
      <c r="G253" s="2">
        <v>16479</v>
      </c>
      <c r="H253" s="2">
        <v>98874</v>
      </c>
      <c r="I253" s="2" t="s">
        <v>34</v>
      </c>
      <c r="J253" s="2" t="s">
        <v>35</v>
      </c>
      <c r="K253" s="2">
        <v>2</v>
      </c>
      <c r="L253" s="2">
        <f>COUNTIF(TableTransections[[#All],[Customer ID]],TableTransections[[#This Row],[Customer ID]])</f>
        <v>3</v>
      </c>
    </row>
    <row r="254" spans="1:12" x14ac:dyDescent="0.3">
      <c r="A254" s="2" t="s">
        <v>546</v>
      </c>
      <c r="B254" s="2" t="s">
        <v>205</v>
      </c>
      <c r="C254" s="2" t="s">
        <v>345</v>
      </c>
      <c r="D254" s="2" t="s">
        <v>56</v>
      </c>
      <c r="E254" s="2" t="s">
        <v>133</v>
      </c>
      <c r="F254" s="2">
        <v>9</v>
      </c>
      <c r="G254" s="2">
        <v>26265</v>
      </c>
      <c r="H254" s="2">
        <v>236385</v>
      </c>
      <c r="I254" s="2" t="s">
        <v>34</v>
      </c>
      <c r="J254" s="2" t="s">
        <v>150</v>
      </c>
      <c r="K254" s="2">
        <v>5</v>
      </c>
      <c r="L254" s="2">
        <f>COUNTIF(TableTransections[[#All],[Customer ID]],TableTransections[[#This Row],[Customer ID]])</f>
        <v>3</v>
      </c>
    </row>
    <row r="255" spans="1:12" x14ac:dyDescent="0.3">
      <c r="A255" s="2" t="s">
        <v>547</v>
      </c>
      <c r="B255" s="2" t="s">
        <v>237</v>
      </c>
      <c r="C255" s="2" t="s">
        <v>374</v>
      </c>
      <c r="D255" s="2" t="s">
        <v>21</v>
      </c>
      <c r="E255" s="2" t="s">
        <v>106</v>
      </c>
      <c r="F255" s="2">
        <v>5</v>
      </c>
      <c r="G255" s="2">
        <v>25861</v>
      </c>
      <c r="H255" s="2">
        <v>129305</v>
      </c>
      <c r="I255" s="2" t="s">
        <v>48</v>
      </c>
      <c r="J255" s="2" t="s">
        <v>65</v>
      </c>
      <c r="K255" s="2">
        <v>2</v>
      </c>
      <c r="L255" s="2">
        <f>COUNTIF(TableTransections[[#All],[Customer ID]],TableTransections[[#This Row],[Customer ID]])</f>
        <v>4</v>
      </c>
    </row>
    <row r="256" spans="1:12" x14ac:dyDescent="0.3">
      <c r="A256" s="2" t="s">
        <v>548</v>
      </c>
      <c r="B256" s="2" t="s">
        <v>456</v>
      </c>
      <c r="C256" s="2" t="s">
        <v>222</v>
      </c>
      <c r="D256" s="2" t="s">
        <v>27</v>
      </c>
      <c r="E256" s="2" t="s">
        <v>207</v>
      </c>
      <c r="F256" s="2">
        <v>4</v>
      </c>
      <c r="G256" s="2">
        <v>19421</v>
      </c>
      <c r="H256" s="2">
        <v>77684</v>
      </c>
      <c r="I256" s="2" t="s">
        <v>48</v>
      </c>
      <c r="J256" s="2" t="s">
        <v>52</v>
      </c>
      <c r="K256" s="2">
        <v>3</v>
      </c>
      <c r="L256" s="2">
        <f>COUNTIF(TableTransections[[#All],[Customer ID]],TableTransections[[#This Row],[Customer ID]])</f>
        <v>3</v>
      </c>
    </row>
    <row r="257" spans="1:12" x14ac:dyDescent="0.3">
      <c r="A257" s="2" t="s">
        <v>549</v>
      </c>
      <c r="B257" s="2" t="s">
        <v>198</v>
      </c>
      <c r="C257" s="2" t="s">
        <v>438</v>
      </c>
      <c r="D257" s="2" t="s">
        <v>56</v>
      </c>
      <c r="E257" s="2" t="s">
        <v>133</v>
      </c>
      <c r="F257" s="2">
        <v>3</v>
      </c>
      <c r="G257" s="2">
        <v>3715</v>
      </c>
      <c r="H257" s="2">
        <v>11145</v>
      </c>
      <c r="I257" s="2" t="s">
        <v>64</v>
      </c>
      <c r="J257" s="2" t="s">
        <v>17</v>
      </c>
      <c r="K257" s="2">
        <v>4</v>
      </c>
      <c r="L257" s="2">
        <f>COUNTIF(TableTransections[[#All],[Customer ID]],TableTransections[[#This Row],[Customer ID]])</f>
        <v>4</v>
      </c>
    </row>
    <row r="258" spans="1:12" x14ac:dyDescent="0.3">
      <c r="A258" s="2" t="s">
        <v>550</v>
      </c>
      <c r="B258" s="2" t="s">
        <v>402</v>
      </c>
      <c r="C258" s="2" t="s">
        <v>319</v>
      </c>
      <c r="D258" s="2" t="s">
        <v>14</v>
      </c>
      <c r="E258" s="2" t="s">
        <v>167</v>
      </c>
      <c r="F258" s="2">
        <v>1</v>
      </c>
      <c r="G258" s="2">
        <v>10474</v>
      </c>
      <c r="H258" s="2">
        <v>10474</v>
      </c>
      <c r="I258" s="2" t="s">
        <v>64</v>
      </c>
      <c r="J258" s="2" t="s">
        <v>150</v>
      </c>
      <c r="K258" s="2">
        <v>2</v>
      </c>
      <c r="L258" s="2">
        <f>COUNTIF(TableTransections[[#All],[Customer ID]],TableTransections[[#This Row],[Customer ID]])</f>
        <v>3</v>
      </c>
    </row>
    <row r="259" spans="1:12" x14ac:dyDescent="0.3">
      <c r="A259" s="2" t="s">
        <v>551</v>
      </c>
      <c r="B259" s="2" t="s">
        <v>552</v>
      </c>
      <c r="C259" s="2" t="s">
        <v>553</v>
      </c>
      <c r="D259" s="2" t="s">
        <v>21</v>
      </c>
      <c r="E259" s="2" t="s">
        <v>106</v>
      </c>
      <c r="F259" s="2">
        <v>10</v>
      </c>
      <c r="G259" s="2">
        <v>21960</v>
      </c>
      <c r="H259" s="2">
        <v>219600</v>
      </c>
      <c r="I259" s="2" t="s">
        <v>34</v>
      </c>
      <c r="J259" s="2" t="s">
        <v>17</v>
      </c>
      <c r="K259" s="2">
        <v>2</v>
      </c>
      <c r="L259" s="2">
        <f>COUNTIF(TableTransections[[#All],[Customer ID]],TableTransections[[#This Row],[Customer ID]])</f>
        <v>2</v>
      </c>
    </row>
    <row r="260" spans="1:12" x14ac:dyDescent="0.3">
      <c r="A260" s="2" t="s">
        <v>554</v>
      </c>
      <c r="B260" s="2" t="s">
        <v>97</v>
      </c>
      <c r="C260" s="2" t="s">
        <v>47</v>
      </c>
      <c r="D260" s="2" t="s">
        <v>14</v>
      </c>
      <c r="E260" s="2" t="s">
        <v>167</v>
      </c>
      <c r="F260" s="2">
        <v>7</v>
      </c>
      <c r="G260" s="2">
        <v>23268</v>
      </c>
      <c r="H260" s="2">
        <v>162876</v>
      </c>
      <c r="I260" s="2" t="s">
        <v>64</v>
      </c>
      <c r="J260" s="2" t="s">
        <v>44</v>
      </c>
      <c r="K260" s="2">
        <v>1</v>
      </c>
      <c r="L260" s="2">
        <f>COUNTIF(TableTransections[[#All],[Customer ID]],TableTransections[[#This Row],[Customer ID]])</f>
        <v>5</v>
      </c>
    </row>
    <row r="261" spans="1:12" x14ac:dyDescent="0.3">
      <c r="A261" s="2" t="s">
        <v>555</v>
      </c>
      <c r="B261" s="2" t="s">
        <v>40</v>
      </c>
      <c r="C261" s="2" t="s">
        <v>63</v>
      </c>
      <c r="D261" s="2" t="s">
        <v>42</v>
      </c>
      <c r="E261" s="2" t="s">
        <v>95</v>
      </c>
      <c r="F261" s="2">
        <v>4</v>
      </c>
      <c r="G261" s="2">
        <v>4982</v>
      </c>
      <c r="H261" s="2">
        <v>19928</v>
      </c>
      <c r="I261" s="2" t="s">
        <v>16</v>
      </c>
      <c r="J261" s="2" t="s">
        <v>29</v>
      </c>
      <c r="K261" s="2">
        <v>3</v>
      </c>
      <c r="L261" s="2">
        <f>COUNTIF(TableTransections[[#All],[Customer ID]],TableTransections[[#This Row],[Customer ID]])</f>
        <v>3</v>
      </c>
    </row>
    <row r="262" spans="1:12" x14ac:dyDescent="0.3">
      <c r="A262" s="2" t="s">
        <v>556</v>
      </c>
      <c r="B262" s="2" t="s">
        <v>255</v>
      </c>
      <c r="C262" s="2" t="s">
        <v>297</v>
      </c>
      <c r="D262" s="2" t="s">
        <v>42</v>
      </c>
      <c r="E262" s="2" t="s">
        <v>95</v>
      </c>
      <c r="F262" s="2">
        <v>1</v>
      </c>
      <c r="G262" s="2">
        <v>6240</v>
      </c>
      <c r="H262" s="2">
        <v>6240</v>
      </c>
      <c r="I262" s="2" t="s">
        <v>23</v>
      </c>
      <c r="J262" s="2" t="s">
        <v>91</v>
      </c>
      <c r="K262" s="2">
        <v>4</v>
      </c>
      <c r="L262" s="2">
        <f>COUNTIF(TableTransections[[#All],[Customer ID]],TableTransections[[#This Row],[Customer ID]])</f>
        <v>6</v>
      </c>
    </row>
    <row r="263" spans="1:12" x14ac:dyDescent="0.3">
      <c r="A263" s="2" t="s">
        <v>557</v>
      </c>
      <c r="B263" s="2" t="s">
        <v>97</v>
      </c>
      <c r="C263" s="2" t="s">
        <v>558</v>
      </c>
      <c r="D263" s="2" t="s">
        <v>27</v>
      </c>
      <c r="E263" s="2" t="s">
        <v>87</v>
      </c>
      <c r="F263" s="2">
        <v>4</v>
      </c>
      <c r="G263" s="2">
        <v>11299</v>
      </c>
      <c r="H263" s="2">
        <v>45196</v>
      </c>
      <c r="I263" s="2" t="s">
        <v>34</v>
      </c>
      <c r="J263" s="2" t="s">
        <v>35</v>
      </c>
      <c r="K263" s="2">
        <v>5</v>
      </c>
      <c r="L263" s="2">
        <f>COUNTIF(TableTransections[[#All],[Customer ID]],TableTransections[[#This Row],[Customer ID]])</f>
        <v>5</v>
      </c>
    </row>
    <row r="264" spans="1:12" x14ac:dyDescent="0.3">
      <c r="A264" s="2" t="s">
        <v>559</v>
      </c>
      <c r="B264" s="2" t="s">
        <v>209</v>
      </c>
      <c r="C264" s="2" t="s">
        <v>250</v>
      </c>
      <c r="D264" s="2" t="s">
        <v>21</v>
      </c>
      <c r="E264" s="2" t="s">
        <v>74</v>
      </c>
      <c r="F264" s="2">
        <v>9</v>
      </c>
      <c r="G264" s="2">
        <v>28109</v>
      </c>
      <c r="H264" s="2">
        <v>252981</v>
      </c>
      <c r="I264" s="2" t="s">
        <v>64</v>
      </c>
      <c r="J264" s="2" t="s">
        <v>65</v>
      </c>
      <c r="K264" s="2">
        <v>4</v>
      </c>
      <c r="L264" s="2">
        <f>COUNTIF(TableTransections[[#All],[Customer ID]],TableTransections[[#This Row],[Customer ID]])</f>
        <v>2</v>
      </c>
    </row>
    <row r="265" spans="1:12" x14ac:dyDescent="0.3">
      <c r="A265" s="2" t="s">
        <v>560</v>
      </c>
      <c r="B265" s="2" t="s">
        <v>93</v>
      </c>
      <c r="C265" s="2" t="s">
        <v>342</v>
      </c>
      <c r="D265" s="2" t="s">
        <v>21</v>
      </c>
      <c r="E265" s="2" t="s">
        <v>22</v>
      </c>
      <c r="F265" s="2">
        <v>8</v>
      </c>
      <c r="G265" s="2">
        <v>10189</v>
      </c>
      <c r="H265" s="2">
        <v>81512</v>
      </c>
      <c r="I265" s="2" t="s">
        <v>16</v>
      </c>
      <c r="J265" s="2" t="s">
        <v>136</v>
      </c>
      <c r="K265" s="2">
        <v>2</v>
      </c>
      <c r="L265" s="2">
        <f>COUNTIF(TableTransections[[#All],[Customer ID]],TableTransections[[#This Row],[Customer ID]])</f>
        <v>6</v>
      </c>
    </row>
    <row r="266" spans="1:12" x14ac:dyDescent="0.3">
      <c r="A266" s="2" t="s">
        <v>561</v>
      </c>
      <c r="B266" s="2" t="s">
        <v>193</v>
      </c>
      <c r="C266" s="2" t="s">
        <v>166</v>
      </c>
      <c r="D266" s="2" t="s">
        <v>42</v>
      </c>
      <c r="E266" s="2" t="s">
        <v>60</v>
      </c>
      <c r="F266" s="2">
        <v>10</v>
      </c>
      <c r="G266" s="2">
        <v>22809</v>
      </c>
      <c r="H266" s="2">
        <v>228090</v>
      </c>
      <c r="I266" s="2" t="s">
        <v>34</v>
      </c>
      <c r="J266" s="2" t="s">
        <v>17</v>
      </c>
      <c r="K266" s="2">
        <v>4</v>
      </c>
      <c r="L266" s="2">
        <f>COUNTIF(TableTransections[[#All],[Customer ID]],TableTransections[[#This Row],[Customer ID]])</f>
        <v>4</v>
      </c>
    </row>
    <row r="267" spans="1:12" x14ac:dyDescent="0.3">
      <c r="A267" s="2" t="s">
        <v>562</v>
      </c>
      <c r="B267" s="2" t="s">
        <v>409</v>
      </c>
      <c r="C267" s="2" t="s">
        <v>563</v>
      </c>
      <c r="D267" s="2" t="s">
        <v>42</v>
      </c>
      <c r="E267" s="2" t="s">
        <v>95</v>
      </c>
      <c r="F267" s="2">
        <v>5</v>
      </c>
      <c r="G267" s="2">
        <v>4258</v>
      </c>
      <c r="H267" s="2">
        <v>21290</v>
      </c>
      <c r="I267" s="2" t="s">
        <v>16</v>
      </c>
      <c r="J267" s="2" t="s">
        <v>29</v>
      </c>
      <c r="K267" s="2">
        <v>5</v>
      </c>
      <c r="L267" s="2">
        <f>COUNTIF(TableTransections[[#All],[Customer ID]],TableTransections[[#This Row],[Customer ID]])</f>
        <v>3</v>
      </c>
    </row>
    <row r="268" spans="1:12" x14ac:dyDescent="0.3">
      <c r="A268" s="2" t="s">
        <v>564</v>
      </c>
      <c r="B268" s="2" t="s">
        <v>432</v>
      </c>
      <c r="C268" s="2" t="s">
        <v>161</v>
      </c>
      <c r="D268" s="2" t="s">
        <v>27</v>
      </c>
      <c r="E268" s="2" t="s">
        <v>28</v>
      </c>
      <c r="F268" s="2">
        <v>4</v>
      </c>
      <c r="G268" s="2">
        <v>25606</v>
      </c>
      <c r="H268" s="2">
        <v>102424</v>
      </c>
      <c r="I268" s="2" t="s">
        <v>34</v>
      </c>
      <c r="J268" s="2" t="s">
        <v>17</v>
      </c>
      <c r="K268" s="2">
        <v>3</v>
      </c>
      <c r="L268" s="2">
        <f>COUNTIF(TableTransections[[#All],[Customer ID]],TableTransections[[#This Row],[Customer ID]])</f>
        <v>4</v>
      </c>
    </row>
    <row r="269" spans="1:12" x14ac:dyDescent="0.3">
      <c r="A269" s="2" t="s">
        <v>565</v>
      </c>
      <c r="B269" s="2" t="s">
        <v>566</v>
      </c>
      <c r="C269" s="2" t="s">
        <v>174</v>
      </c>
      <c r="D269" s="2" t="s">
        <v>42</v>
      </c>
      <c r="E269" s="2" t="s">
        <v>184</v>
      </c>
      <c r="F269" s="2">
        <v>2</v>
      </c>
      <c r="G269" s="2">
        <v>11000</v>
      </c>
      <c r="H269" s="2">
        <v>22000</v>
      </c>
      <c r="I269" s="2" t="s">
        <v>23</v>
      </c>
      <c r="J269" s="2" t="s">
        <v>17</v>
      </c>
      <c r="K269" s="2">
        <v>1</v>
      </c>
      <c r="L269" s="2">
        <f>COUNTIF(TableTransections[[#All],[Customer ID]],TableTransections[[#This Row],[Customer ID]])</f>
        <v>2</v>
      </c>
    </row>
    <row r="270" spans="1:12" x14ac:dyDescent="0.3">
      <c r="A270" s="2" t="s">
        <v>567</v>
      </c>
      <c r="B270" s="2" t="s">
        <v>145</v>
      </c>
      <c r="C270" s="2" t="s">
        <v>264</v>
      </c>
      <c r="D270" s="2" t="s">
        <v>27</v>
      </c>
      <c r="E270" s="2" t="s">
        <v>28</v>
      </c>
      <c r="F270" s="2">
        <v>4</v>
      </c>
      <c r="G270" s="2">
        <v>6672</v>
      </c>
      <c r="H270" s="2">
        <v>26688</v>
      </c>
      <c r="I270" s="2" t="s">
        <v>16</v>
      </c>
      <c r="J270" s="2" t="s">
        <v>52</v>
      </c>
      <c r="K270" s="2">
        <v>5</v>
      </c>
      <c r="L270" s="2">
        <f>COUNTIF(TableTransections[[#All],[Customer ID]],TableTransections[[#This Row],[Customer ID]])</f>
        <v>4</v>
      </c>
    </row>
    <row r="271" spans="1:12" x14ac:dyDescent="0.3">
      <c r="A271" s="2" t="s">
        <v>568</v>
      </c>
      <c r="B271" s="2" t="s">
        <v>456</v>
      </c>
      <c r="C271" s="2" t="s">
        <v>189</v>
      </c>
      <c r="D271" s="2" t="s">
        <v>27</v>
      </c>
      <c r="E271" s="2" t="s">
        <v>87</v>
      </c>
      <c r="F271" s="2">
        <v>9</v>
      </c>
      <c r="G271" s="2">
        <v>21350</v>
      </c>
      <c r="H271" s="2">
        <v>192150</v>
      </c>
      <c r="I271" s="2" t="s">
        <v>23</v>
      </c>
      <c r="J271" s="2" t="s">
        <v>35</v>
      </c>
      <c r="K271" s="2">
        <v>5</v>
      </c>
      <c r="L271" s="2">
        <f>COUNTIF(TableTransections[[#All],[Customer ID]],TableTransections[[#This Row],[Customer ID]])</f>
        <v>3</v>
      </c>
    </row>
    <row r="272" spans="1:12" x14ac:dyDescent="0.3">
      <c r="A272" s="2" t="s">
        <v>569</v>
      </c>
      <c r="B272" s="2" t="s">
        <v>437</v>
      </c>
      <c r="C272" s="2" t="s">
        <v>570</v>
      </c>
      <c r="D272" s="2" t="s">
        <v>27</v>
      </c>
      <c r="E272" s="2" t="s">
        <v>102</v>
      </c>
      <c r="F272" s="2">
        <v>8</v>
      </c>
      <c r="G272" s="2">
        <v>10250</v>
      </c>
      <c r="H272" s="2">
        <v>82000</v>
      </c>
      <c r="I272" s="2" t="s">
        <v>23</v>
      </c>
      <c r="J272" s="2" t="s">
        <v>70</v>
      </c>
      <c r="K272" s="2">
        <v>5</v>
      </c>
      <c r="L272" s="2">
        <f>COUNTIF(TableTransections[[#All],[Customer ID]],TableTransections[[#This Row],[Customer ID]])</f>
        <v>3</v>
      </c>
    </row>
    <row r="273" spans="1:12" x14ac:dyDescent="0.3">
      <c r="A273" s="2" t="s">
        <v>571</v>
      </c>
      <c r="B273" s="2" t="s">
        <v>572</v>
      </c>
      <c r="C273" s="2" t="s">
        <v>132</v>
      </c>
      <c r="D273" s="2" t="s">
        <v>21</v>
      </c>
      <c r="E273" s="2" t="s">
        <v>149</v>
      </c>
      <c r="F273" s="2">
        <v>6</v>
      </c>
      <c r="G273" s="2">
        <v>16198</v>
      </c>
      <c r="H273" s="2">
        <v>97188</v>
      </c>
      <c r="I273" s="2" t="s">
        <v>64</v>
      </c>
      <c r="J273" s="2" t="s">
        <v>17</v>
      </c>
      <c r="K273" s="2">
        <v>1</v>
      </c>
      <c r="L273" s="2">
        <f>COUNTIF(TableTransections[[#All],[Customer ID]],TableTransections[[#This Row],[Customer ID]])</f>
        <v>1</v>
      </c>
    </row>
    <row r="274" spans="1:12" x14ac:dyDescent="0.3">
      <c r="A274" s="2" t="s">
        <v>573</v>
      </c>
      <c r="B274" s="2" t="s">
        <v>519</v>
      </c>
      <c r="C274" s="2" t="s">
        <v>250</v>
      </c>
      <c r="D274" s="2" t="s">
        <v>14</v>
      </c>
      <c r="E274" s="2" t="s">
        <v>15</v>
      </c>
      <c r="F274" s="2">
        <v>6</v>
      </c>
      <c r="G274" s="2">
        <v>15546</v>
      </c>
      <c r="H274" s="2">
        <v>93276</v>
      </c>
      <c r="I274" s="2" t="s">
        <v>23</v>
      </c>
      <c r="J274" s="2" t="s">
        <v>91</v>
      </c>
      <c r="K274" s="2">
        <v>4</v>
      </c>
      <c r="L274" s="2">
        <f>COUNTIF(TableTransections[[#All],[Customer ID]],TableTransections[[#This Row],[Customer ID]])</f>
        <v>3</v>
      </c>
    </row>
    <row r="275" spans="1:12" x14ac:dyDescent="0.3">
      <c r="A275" s="2" t="s">
        <v>574</v>
      </c>
      <c r="B275" s="2" t="s">
        <v>25</v>
      </c>
      <c r="C275" s="2" t="s">
        <v>342</v>
      </c>
      <c r="D275" s="2" t="s">
        <v>14</v>
      </c>
      <c r="E275" s="2" t="s">
        <v>140</v>
      </c>
      <c r="F275" s="2">
        <v>1</v>
      </c>
      <c r="G275" s="2">
        <v>17082</v>
      </c>
      <c r="H275" s="2">
        <v>17082</v>
      </c>
      <c r="I275" s="2" t="s">
        <v>16</v>
      </c>
      <c r="J275" s="2" t="s">
        <v>17</v>
      </c>
      <c r="K275" s="2">
        <v>5</v>
      </c>
      <c r="L275" s="2">
        <f>COUNTIF(TableTransections[[#All],[Customer ID]],TableTransections[[#This Row],[Customer ID]])</f>
        <v>3</v>
      </c>
    </row>
    <row r="276" spans="1:12" x14ac:dyDescent="0.3">
      <c r="A276" s="2" t="s">
        <v>575</v>
      </c>
      <c r="B276" s="2" t="s">
        <v>67</v>
      </c>
      <c r="C276" s="2" t="s">
        <v>576</v>
      </c>
      <c r="D276" s="2" t="s">
        <v>27</v>
      </c>
      <c r="E276" s="2" t="s">
        <v>207</v>
      </c>
      <c r="F276" s="2">
        <v>10</v>
      </c>
      <c r="G276" s="2">
        <v>11616</v>
      </c>
      <c r="H276" s="2">
        <v>116160</v>
      </c>
      <c r="I276" s="2" t="s">
        <v>64</v>
      </c>
      <c r="J276" s="2" t="s">
        <v>150</v>
      </c>
      <c r="K276" s="2">
        <v>4</v>
      </c>
      <c r="L276" s="2">
        <f>COUNTIF(TableTransections[[#All],[Customer ID]],TableTransections[[#This Row],[Customer ID]])</f>
        <v>6</v>
      </c>
    </row>
    <row r="277" spans="1:12" x14ac:dyDescent="0.3">
      <c r="A277" s="2" t="s">
        <v>577</v>
      </c>
      <c r="B277" s="2" t="s">
        <v>31</v>
      </c>
      <c r="C277" s="2" t="s">
        <v>243</v>
      </c>
      <c r="D277" s="2" t="s">
        <v>42</v>
      </c>
      <c r="E277" s="2" t="s">
        <v>60</v>
      </c>
      <c r="F277" s="2">
        <v>6</v>
      </c>
      <c r="G277" s="2">
        <v>15272</v>
      </c>
      <c r="H277" s="2">
        <v>91632</v>
      </c>
      <c r="I277" s="2" t="s">
        <v>64</v>
      </c>
      <c r="J277" s="2" t="s">
        <v>136</v>
      </c>
      <c r="K277" s="2">
        <v>5</v>
      </c>
      <c r="L277" s="2">
        <f>COUNTIF(TableTransections[[#All],[Customer ID]],TableTransections[[#This Row],[Customer ID]])</f>
        <v>5</v>
      </c>
    </row>
    <row r="278" spans="1:12" x14ac:dyDescent="0.3">
      <c r="A278" s="2" t="s">
        <v>578</v>
      </c>
      <c r="B278" s="2" t="s">
        <v>158</v>
      </c>
      <c r="C278" s="2" t="s">
        <v>172</v>
      </c>
      <c r="D278" s="2" t="s">
        <v>42</v>
      </c>
      <c r="E278" s="2" t="s">
        <v>95</v>
      </c>
      <c r="F278" s="2">
        <v>1</v>
      </c>
      <c r="G278" s="2">
        <v>9012</v>
      </c>
      <c r="H278" s="2">
        <v>9012</v>
      </c>
      <c r="I278" s="2" t="s">
        <v>34</v>
      </c>
      <c r="J278" s="2" t="s">
        <v>65</v>
      </c>
      <c r="K278" s="2">
        <v>5</v>
      </c>
      <c r="L278" s="2">
        <f>COUNTIF(TableTransections[[#All],[Customer ID]],TableTransections[[#This Row],[Customer ID]])</f>
        <v>2</v>
      </c>
    </row>
    <row r="279" spans="1:12" x14ac:dyDescent="0.3">
      <c r="A279" s="2" t="s">
        <v>579</v>
      </c>
      <c r="B279" s="2" t="s">
        <v>416</v>
      </c>
      <c r="C279" s="2" t="s">
        <v>324</v>
      </c>
      <c r="D279" s="2" t="s">
        <v>27</v>
      </c>
      <c r="E279" s="2" t="s">
        <v>28</v>
      </c>
      <c r="F279" s="2">
        <v>8</v>
      </c>
      <c r="G279" s="2">
        <v>19392</v>
      </c>
      <c r="H279" s="2">
        <v>155136</v>
      </c>
      <c r="I279" s="2" t="s">
        <v>16</v>
      </c>
      <c r="J279" s="2" t="s">
        <v>52</v>
      </c>
      <c r="K279" s="2">
        <v>4</v>
      </c>
      <c r="L279" s="2">
        <f>COUNTIF(TableTransections[[#All],[Customer ID]],TableTransections[[#This Row],[Customer ID]])</f>
        <v>4</v>
      </c>
    </row>
    <row r="280" spans="1:12" x14ac:dyDescent="0.3">
      <c r="A280" s="2" t="s">
        <v>580</v>
      </c>
      <c r="B280" s="2" t="s">
        <v>566</v>
      </c>
      <c r="C280" s="2" t="s">
        <v>264</v>
      </c>
      <c r="D280" s="2" t="s">
        <v>56</v>
      </c>
      <c r="E280" s="2" t="s">
        <v>78</v>
      </c>
      <c r="F280" s="2">
        <v>9</v>
      </c>
      <c r="G280" s="2">
        <v>15061</v>
      </c>
      <c r="H280" s="2">
        <v>135549</v>
      </c>
      <c r="I280" s="2" t="s">
        <v>16</v>
      </c>
      <c r="J280" s="2" t="s">
        <v>35</v>
      </c>
      <c r="K280" s="2">
        <v>2</v>
      </c>
      <c r="L280" s="2">
        <f>COUNTIF(TableTransections[[#All],[Customer ID]],TableTransections[[#This Row],[Customer ID]])</f>
        <v>2</v>
      </c>
    </row>
    <row r="281" spans="1:12" x14ac:dyDescent="0.3">
      <c r="A281" s="2" t="s">
        <v>581</v>
      </c>
      <c r="B281" s="2" t="s">
        <v>188</v>
      </c>
      <c r="C281" s="2" t="s">
        <v>582</v>
      </c>
      <c r="D281" s="2" t="s">
        <v>14</v>
      </c>
      <c r="E281" s="2" t="s">
        <v>15</v>
      </c>
      <c r="F281" s="2">
        <v>4</v>
      </c>
      <c r="G281" s="2">
        <v>18691</v>
      </c>
      <c r="H281" s="2">
        <v>74764</v>
      </c>
      <c r="I281" s="2" t="s">
        <v>48</v>
      </c>
      <c r="J281" s="2" t="s">
        <v>29</v>
      </c>
      <c r="K281" s="2">
        <v>3</v>
      </c>
      <c r="L281" s="2">
        <f>COUNTIF(TableTransections[[#All],[Customer ID]],TableTransections[[#This Row],[Customer ID]])</f>
        <v>5</v>
      </c>
    </row>
    <row r="282" spans="1:12" x14ac:dyDescent="0.3">
      <c r="A282" s="2" t="s">
        <v>583</v>
      </c>
      <c r="B282" s="2" t="s">
        <v>470</v>
      </c>
      <c r="C282" s="2" t="s">
        <v>584</v>
      </c>
      <c r="D282" s="2" t="s">
        <v>27</v>
      </c>
      <c r="E282" s="2" t="s">
        <v>28</v>
      </c>
      <c r="F282" s="2">
        <v>10</v>
      </c>
      <c r="G282" s="2">
        <v>23475</v>
      </c>
      <c r="H282" s="2">
        <v>234750</v>
      </c>
      <c r="I282" s="2" t="s">
        <v>64</v>
      </c>
      <c r="J282" s="2" t="s">
        <v>35</v>
      </c>
      <c r="K282" s="2">
        <v>5</v>
      </c>
      <c r="L282" s="2">
        <f>COUNTIF(TableTransections[[#All],[Customer ID]],TableTransections[[#This Row],[Customer ID]])</f>
        <v>3</v>
      </c>
    </row>
    <row r="283" spans="1:12" x14ac:dyDescent="0.3">
      <c r="A283" s="2" t="s">
        <v>585</v>
      </c>
      <c r="B283" s="2" t="s">
        <v>382</v>
      </c>
      <c r="C283" s="2" t="s">
        <v>286</v>
      </c>
      <c r="D283" s="2" t="s">
        <v>56</v>
      </c>
      <c r="E283" s="2" t="s">
        <v>178</v>
      </c>
      <c r="F283" s="2">
        <v>6</v>
      </c>
      <c r="G283" s="2">
        <v>13065</v>
      </c>
      <c r="H283" s="2">
        <v>78390</v>
      </c>
      <c r="I283" s="2" t="s">
        <v>34</v>
      </c>
      <c r="J283" s="2" t="s">
        <v>52</v>
      </c>
      <c r="K283" s="2">
        <v>2</v>
      </c>
      <c r="L283" s="2">
        <f>COUNTIF(TableTransections[[#All],[Customer ID]],TableTransections[[#This Row],[Customer ID]])</f>
        <v>2</v>
      </c>
    </row>
    <row r="284" spans="1:12" x14ac:dyDescent="0.3">
      <c r="A284" s="2" t="s">
        <v>586</v>
      </c>
      <c r="B284" s="2" t="s">
        <v>416</v>
      </c>
      <c r="C284" s="2" t="s">
        <v>227</v>
      </c>
      <c r="D284" s="2" t="s">
        <v>21</v>
      </c>
      <c r="E284" s="2" t="s">
        <v>149</v>
      </c>
      <c r="F284" s="2">
        <v>7</v>
      </c>
      <c r="G284" s="2">
        <v>9551</v>
      </c>
      <c r="H284" s="2">
        <v>66857</v>
      </c>
      <c r="I284" s="2" t="s">
        <v>48</v>
      </c>
      <c r="J284" s="2" t="s">
        <v>44</v>
      </c>
      <c r="K284" s="2">
        <v>3</v>
      </c>
      <c r="L284" s="2">
        <f>COUNTIF(TableTransections[[#All],[Customer ID]],TableTransections[[#This Row],[Customer ID]])</f>
        <v>4</v>
      </c>
    </row>
    <row r="285" spans="1:12" x14ac:dyDescent="0.3">
      <c r="A285" s="2" t="s">
        <v>587</v>
      </c>
      <c r="B285" s="2" t="s">
        <v>114</v>
      </c>
      <c r="C285" s="2" t="s">
        <v>51</v>
      </c>
      <c r="D285" s="2" t="s">
        <v>21</v>
      </c>
      <c r="E285" s="2" t="s">
        <v>33</v>
      </c>
      <c r="F285" s="2">
        <v>4</v>
      </c>
      <c r="G285" s="2">
        <v>1951</v>
      </c>
      <c r="H285" s="2">
        <v>7804</v>
      </c>
      <c r="I285" s="2" t="s">
        <v>34</v>
      </c>
      <c r="J285" s="2" t="s">
        <v>17</v>
      </c>
      <c r="K285" s="2">
        <v>3</v>
      </c>
      <c r="L285" s="2">
        <f>COUNTIF(TableTransections[[#All],[Customer ID]],TableTransections[[#This Row],[Customer ID]])</f>
        <v>6</v>
      </c>
    </row>
    <row r="286" spans="1:12" x14ac:dyDescent="0.3">
      <c r="A286" s="2" t="s">
        <v>588</v>
      </c>
      <c r="B286" s="2" t="s">
        <v>155</v>
      </c>
      <c r="C286" s="2" t="s">
        <v>282</v>
      </c>
      <c r="D286" s="2" t="s">
        <v>14</v>
      </c>
      <c r="E286" s="2" t="s">
        <v>140</v>
      </c>
      <c r="F286" s="2">
        <v>2</v>
      </c>
      <c r="G286" s="2">
        <v>11786</v>
      </c>
      <c r="H286" s="2">
        <v>23572</v>
      </c>
      <c r="I286" s="2" t="s">
        <v>64</v>
      </c>
      <c r="J286" s="2" t="s">
        <v>65</v>
      </c>
      <c r="K286" s="2">
        <v>1</v>
      </c>
      <c r="L286" s="2">
        <f>COUNTIF(TableTransections[[#All],[Customer ID]],TableTransections[[#This Row],[Customer ID]])</f>
        <v>5</v>
      </c>
    </row>
    <row r="287" spans="1:12" x14ac:dyDescent="0.3">
      <c r="A287" s="2" t="s">
        <v>589</v>
      </c>
      <c r="B287" s="2" t="s">
        <v>83</v>
      </c>
      <c r="C287" s="2" t="s">
        <v>101</v>
      </c>
      <c r="D287" s="2" t="s">
        <v>14</v>
      </c>
      <c r="E287" s="2" t="s">
        <v>15</v>
      </c>
      <c r="F287" s="2">
        <v>9</v>
      </c>
      <c r="G287" s="2">
        <v>3512</v>
      </c>
      <c r="H287" s="2">
        <v>31608</v>
      </c>
      <c r="I287" s="2" t="s">
        <v>16</v>
      </c>
      <c r="J287" s="2" t="s">
        <v>150</v>
      </c>
      <c r="K287" s="2">
        <v>3</v>
      </c>
      <c r="L287" s="2">
        <f>COUNTIF(TableTransections[[#All],[Customer ID]],TableTransections[[#This Row],[Customer ID]])</f>
        <v>5</v>
      </c>
    </row>
    <row r="288" spans="1:12" x14ac:dyDescent="0.3">
      <c r="A288" s="2" t="s">
        <v>590</v>
      </c>
      <c r="B288" s="2" t="s">
        <v>93</v>
      </c>
      <c r="C288" s="2" t="s">
        <v>172</v>
      </c>
      <c r="D288" s="2" t="s">
        <v>56</v>
      </c>
      <c r="E288" s="2" t="s">
        <v>78</v>
      </c>
      <c r="F288" s="2">
        <v>2</v>
      </c>
      <c r="G288" s="2">
        <v>25140</v>
      </c>
      <c r="H288" s="2">
        <v>50280</v>
      </c>
      <c r="I288" s="2" t="s">
        <v>23</v>
      </c>
      <c r="J288" s="2" t="s">
        <v>91</v>
      </c>
      <c r="K288" s="2">
        <v>1</v>
      </c>
      <c r="L288" s="2">
        <f>COUNTIF(TableTransections[[#All],[Customer ID]],TableTransections[[#This Row],[Customer ID]])</f>
        <v>6</v>
      </c>
    </row>
    <row r="289" spans="1:12" x14ac:dyDescent="0.3">
      <c r="A289" s="2" t="s">
        <v>591</v>
      </c>
      <c r="B289" s="2" t="s">
        <v>191</v>
      </c>
      <c r="C289" s="2" t="s">
        <v>592</v>
      </c>
      <c r="D289" s="2" t="s">
        <v>27</v>
      </c>
      <c r="E289" s="2" t="s">
        <v>207</v>
      </c>
      <c r="F289" s="2">
        <v>6</v>
      </c>
      <c r="G289" s="2">
        <v>11392</v>
      </c>
      <c r="H289" s="2">
        <v>68352</v>
      </c>
      <c r="I289" s="2" t="s">
        <v>64</v>
      </c>
      <c r="J289" s="2" t="s">
        <v>70</v>
      </c>
      <c r="K289" s="2">
        <v>5</v>
      </c>
      <c r="L289" s="2">
        <f>COUNTIF(TableTransections[[#All],[Customer ID]],TableTransections[[#This Row],[Customer ID]])</f>
        <v>2</v>
      </c>
    </row>
    <row r="290" spans="1:12" x14ac:dyDescent="0.3">
      <c r="A290" s="2" t="s">
        <v>593</v>
      </c>
      <c r="B290" s="2" t="s">
        <v>552</v>
      </c>
      <c r="C290" s="2" t="s">
        <v>493</v>
      </c>
      <c r="D290" s="2" t="s">
        <v>42</v>
      </c>
      <c r="E290" s="2" t="s">
        <v>95</v>
      </c>
      <c r="F290" s="2">
        <v>9</v>
      </c>
      <c r="G290" s="2">
        <v>16689</v>
      </c>
      <c r="H290" s="2">
        <v>150201</v>
      </c>
      <c r="I290" s="2" t="s">
        <v>23</v>
      </c>
      <c r="J290" s="2" t="s">
        <v>70</v>
      </c>
      <c r="K290" s="2">
        <v>3</v>
      </c>
      <c r="L290" s="2">
        <f>COUNTIF(TableTransections[[#All],[Customer ID]],TableTransections[[#This Row],[Customer ID]])</f>
        <v>2</v>
      </c>
    </row>
    <row r="291" spans="1:12" x14ac:dyDescent="0.3">
      <c r="A291" s="2" t="s">
        <v>594</v>
      </c>
      <c r="B291" s="2" t="s">
        <v>142</v>
      </c>
      <c r="C291" s="2" t="s">
        <v>194</v>
      </c>
      <c r="D291" s="2" t="s">
        <v>56</v>
      </c>
      <c r="E291" s="2" t="s">
        <v>57</v>
      </c>
      <c r="F291" s="2">
        <v>7</v>
      </c>
      <c r="G291" s="2">
        <v>28237</v>
      </c>
      <c r="H291" s="2">
        <v>197659</v>
      </c>
      <c r="I291" s="2" t="s">
        <v>34</v>
      </c>
      <c r="J291" s="2" t="s">
        <v>52</v>
      </c>
      <c r="K291" s="2">
        <v>1</v>
      </c>
      <c r="L291" s="2">
        <f>COUNTIF(TableTransections[[#All],[Customer ID]],TableTransections[[#This Row],[Customer ID]])</f>
        <v>3</v>
      </c>
    </row>
    <row r="292" spans="1:12" x14ac:dyDescent="0.3">
      <c r="A292" s="2" t="s">
        <v>595</v>
      </c>
      <c r="B292" s="2" t="s">
        <v>356</v>
      </c>
      <c r="C292" s="2" t="s">
        <v>334</v>
      </c>
      <c r="D292" s="2" t="s">
        <v>56</v>
      </c>
      <c r="E292" s="2" t="s">
        <v>133</v>
      </c>
      <c r="F292" s="2">
        <v>9</v>
      </c>
      <c r="G292" s="2">
        <v>25637</v>
      </c>
      <c r="H292" s="2">
        <v>230733</v>
      </c>
      <c r="I292" s="2" t="s">
        <v>48</v>
      </c>
      <c r="J292" s="2" t="s">
        <v>17</v>
      </c>
      <c r="K292" s="2">
        <v>1</v>
      </c>
      <c r="L292" s="2">
        <f>COUNTIF(TableTransections[[#All],[Customer ID]],TableTransections[[#This Row],[Customer ID]])</f>
        <v>2</v>
      </c>
    </row>
    <row r="293" spans="1:12" x14ac:dyDescent="0.3">
      <c r="A293" s="2" t="s">
        <v>596</v>
      </c>
      <c r="B293" s="2" t="s">
        <v>389</v>
      </c>
      <c r="C293" s="2" t="s">
        <v>245</v>
      </c>
      <c r="D293" s="2" t="s">
        <v>42</v>
      </c>
      <c r="E293" s="2" t="s">
        <v>95</v>
      </c>
      <c r="F293" s="2">
        <v>2</v>
      </c>
      <c r="G293" s="2">
        <v>22089</v>
      </c>
      <c r="H293" s="2">
        <v>44178</v>
      </c>
      <c r="I293" s="2" t="s">
        <v>48</v>
      </c>
      <c r="J293" s="2" t="s">
        <v>150</v>
      </c>
      <c r="K293" s="2">
        <v>4</v>
      </c>
      <c r="L293" s="2">
        <f>COUNTIF(TableTransections[[#All],[Customer ID]],TableTransections[[#This Row],[Customer ID]])</f>
        <v>4</v>
      </c>
    </row>
    <row r="294" spans="1:12" x14ac:dyDescent="0.3">
      <c r="A294" s="2" t="s">
        <v>597</v>
      </c>
      <c r="B294" s="2" t="s">
        <v>37</v>
      </c>
      <c r="C294" s="2" t="s">
        <v>558</v>
      </c>
      <c r="D294" s="2" t="s">
        <v>21</v>
      </c>
      <c r="E294" s="2" t="s">
        <v>33</v>
      </c>
      <c r="F294" s="2">
        <v>9</v>
      </c>
      <c r="G294" s="2">
        <v>1976</v>
      </c>
      <c r="H294" s="2">
        <v>17784</v>
      </c>
      <c r="I294" s="2" t="s">
        <v>16</v>
      </c>
      <c r="J294" s="2" t="s">
        <v>35</v>
      </c>
      <c r="K294" s="2">
        <v>4</v>
      </c>
      <c r="L294" s="2">
        <f>COUNTIF(TableTransections[[#All],[Customer ID]],TableTransections[[#This Row],[Customer ID]])</f>
        <v>4</v>
      </c>
    </row>
    <row r="295" spans="1:12" x14ac:dyDescent="0.3">
      <c r="A295" s="2" t="s">
        <v>598</v>
      </c>
      <c r="B295" s="2" t="s">
        <v>296</v>
      </c>
      <c r="C295" s="2" t="s">
        <v>352</v>
      </c>
      <c r="D295" s="2" t="s">
        <v>42</v>
      </c>
      <c r="E295" s="2" t="s">
        <v>60</v>
      </c>
      <c r="F295" s="2">
        <v>10</v>
      </c>
      <c r="G295" s="2">
        <v>11664</v>
      </c>
      <c r="H295" s="2">
        <v>116640</v>
      </c>
      <c r="I295" s="2" t="s">
        <v>16</v>
      </c>
      <c r="J295" s="2" t="s">
        <v>91</v>
      </c>
      <c r="K295" s="2">
        <v>5</v>
      </c>
      <c r="L295" s="2">
        <f>COUNTIF(TableTransections[[#All],[Customer ID]],TableTransections[[#This Row],[Customer ID]])</f>
        <v>3</v>
      </c>
    </row>
    <row r="296" spans="1:12" x14ac:dyDescent="0.3">
      <c r="A296" s="2" t="s">
        <v>599</v>
      </c>
      <c r="B296" s="2" t="s">
        <v>31</v>
      </c>
      <c r="C296" s="2" t="s">
        <v>531</v>
      </c>
      <c r="D296" s="2" t="s">
        <v>14</v>
      </c>
      <c r="E296" s="2" t="s">
        <v>69</v>
      </c>
      <c r="F296" s="2">
        <v>5</v>
      </c>
      <c r="G296" s="2">
        <v>26807</v>
      </c>
      <c r="H296" s="2">
        <v>134035</v>
      </c>
      <c r="I296" s="2" t="s">
        <v>48</v>
      </c>
      <c r="J296" s="2" t="s">
        <v>65</v>
      </c>
      <c r="K296" s="2">
        <v>3</v>
      </c>
      <c r="L296" s="2">
        <f>COUNTIF(TableTransections[[#All],[Customer ID]],TableTransections[[#This Row],[Customer ID]])</f>
        <v>5</v>
      </c>
    </row>
    <row r="297" spans="1:12" x14ac:dyDescent="0.3">
      <c r="A297" s="2" t="s">
        <v>600</v>
      </c>
      <c r="B297" s="2" t="s">
        <v>255</v>
      </c>
      <c r="C297" s="2" t="s">
        <v>334</v>
      </c>
      <c r="D297" s="2" t="s">
        <v>14</v>
      </c>
      <c r="E297" s="2" t="s">
        <v>140</v>
      </c>
      <c r="F297" s="2">
        <v>5</v>
      </c>
      <c r="G297" s="2">
        <v>8048</v>
      </c>
      <c r="H297" s="2">
        <v>40240</v>
      </c>
      <c r="I297" s="2" t="s">
        <v>23</v>
      </c>
      <c r="J297" s="2" t="s">
        <v>52</v>
      </c>
      <c r="K297" s="2">
        <v>4</v>
      </c>
      <c r="L297" s="2">
        <f>COUNTIF(TableTransections[[#All],[Customer ID]],TableTransections[[#This Row],[Customer ID]])</f>
        <v>6</v>
      </c>
    </row>
    <row r="298" spans="1:12" x14ac:dyDescent="0.3">
      <c r="A298" s="2" t="s">
        <v>601</v>
      </c>
      <c r="B298" s="2" t="s">
        <v>67</v>
      </c>
      <c r="C298" s="2" t="s">
        <v>301</v>
      </c>
      <c r="D298" s="2" t="s">
        <v>42</v>
      </c>
      <c r="E298" s="2" t="s">
        <v>43</v>
      </c>
      <c r="F298" s="2">
        <v>2</v>
      </c>
      <c r="G298" s="2">
        <v>18842</v>
      </c>
      <c r="H298" s="2">
        <v>37684</v>
      </c>
      <c r="I298" s="2" t="s">
        <v>64</v>
      </c>
      <c r="J298" s="2" t="s">
        <v>91</v>
      </c>
      <c r="K298" s="2">
        <v>5</v>
      </c>
      <c r="L298" s="2">
        <f>COUNTIF(TableTransections[[#All],[Customer ID]],TableTransections[[#This Row],[Customer ID]])</f>
        <v>6</v>
      </c>
    </row>
    <row r="299" spans="1:12" x14ac:dyDescent="0.3">
      <c r="A299" s="2" t="s">
        <v>602</v>
      </c>
      <c r="B299" s="2" t="s">
        <v>273</v>
      </c>
      <c r="C299" s="2" t="s">
        <v>250</v>
      </c>
      <c r="D299" s="2" t="s">
        <v>27</v>
      </c>
      <c r="E299" s="2" t="s">
        <v>102</v>
      </c>
      <c r="F299" s="2">
        <v>6</v>
      </c>
      <c r="G299" s="2">
        <v>9390</v>
      </c>
      <c r="H299" s="2">
        <v>56340</v>
      </c>
      <c r="I299" s="2" t="s">
        <v>34</v>
      </c>
      <c r="J299" s="2" t="s">
        <v>65</v>
      </c>
      <c r="K299" s="2">
        <v>5</v>
      </c>
      <c r="L299" s="2">
        <f>COUNTIF(TableTransections[[#All],[Customer ID]],TableTransections[[#This Row],[Customer ID]])</f>
        <v>3</v>
      </c>
    </row>
    <row r="300" spans="1:12" x14ac:dyDescent="0.3">
      <c r="A300" s="2" t="s">
        <v>603</v>
      </c>
      <c r="B300" s="2" t="s">
        <v>604</v>
      </c>
      <c r="C300" s="2" t="s">
        <v>313</v>
      </c>
      <c r="D300" s="2" t="s">
        <v>27</v>
      </c>
      <c r="E300" s="2" t="s">
        <v>87</v>
      </c>
      <c r="F300" s="2">
        <v>2</v>
      </c>
      <c r="G300" s="2">
        <v>23946</v>
      </c>
      <c r="H300" s="2">
        <v>47892</v>
      </c>
      <c r="I300" s="2" t="s">
        <v>64</v>
      </c>
      <c r="J300" s="2" t="s">
        <v>35</v>
      </c>
      <c r="K300" s="2">
        <v>4</v>
      </c>
      <c r="L300" s="2">
        <f>COUNTIF(TableTransections[[#All],[Customer ID]],TableTransections[[#This Row],[Customer ID]])</f>
        <v>1</v>
      </c>
    </row>
    <row r="301" spans="1:12" x14ac:dyDescent="0.3">
      <c r="A301" s="2" t="s">
        <v>605</v>
      </c>
      <c r="B301" s="2" t="s">
        <v>606</v>
      </c>
      <c r="C301" s="2" t="s">
        <v>324</v>
      </c>
      <c r="D301" s="2" t="s">
        <v>56</v>
      </c>
      <c r="E301" s="2" t="s">
        <v>57</v>
      </c>
      <c r="F301" s="2">
        <v>3</v>
      </c>
      <c r="G301" s="2">
        <v>20163</v>
      </c>
      <c r="H301" s="2">
        <v>60489</v>
      </c>
      <c r="I301" s="2" t="s">
        <v>64</v>
      </c>
      <c r="J301" s="2" t="s">
        <v>17</v>
      </c>
      <c r="K301" s="2">
        <v>3</v>
      </c>
      <c r="L301" s="2">
        <f>COUNTIF(TableTransections[[#All],[Customer ID]],TableTransections[[#This Row],[Customer ID]])</f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9B9BC-922F-47C8-AFC1-81DC5F6CEA98}">
  <dimension ref="A1:B44"/>
  <sheetViews>
    <sheetView tabSelected="1" workbookViewId="0">
      <selection activeCell="E15" sqref="E15"/>
    </sheetView>
  </sheetViews>
  <sheetFormatPr defaultRowHeight="14.4" x14ac:dyDescent="0.3"/>
  <cols>
    <col min="1" max="1" width="30.5546875" customWidth="1"/>
    <col min="2" max="2" width="19.21875" bestFit="1" customWidth="1"/>
  </cols>
  <sheetData>
    <row r="1" spans="1:2" ht="18" x14ac:dyDescent="0.35">
      <c r="B1" s="1"/>
    </row>
    <row r="2" spans="1:2" ht="18" x14ac:dyDescent="0.35">
      <c r="A2" s="1" t="s">
        <v>608</v>
      </c>
      <c r="B2" s="4">
        <f>MODE(TableTransections[[Order Count ]])</f>
        <v>3</v>
      </c>
    </row>
    <row r="5" spans="1:2" ht="18" x14ac:dyDescent="0.35">
      <c r="A5" s="1" t="s">
        <v>609</v>
      </c>
    </row>
    <row r="7" spans="1:2" ht="15.6" x14ac:dyDescent="0.3">
      <c r="A7" s="3" t="s">
        <v>610</v>
      </c>
      <c r="B7" s="4">
        <f>_xlfn.STDEV.P(TableTransections[[#All],[Total Amount]])</f>
        <v>72088.388038356468</v>
      </c>
    </row>
    <row r="8" spans="1:2" ht="15.6" x14ac:dyDescent="0.3">
      <c r="A8" s="3" t="s">
        <v>611</v>
      </c>
      <c r="B8" s="4">
        <f>_xlfn.STDEV.S(TableTransections[[#All],[Total Amount]])</f>
        <v>72208.836556834416</v>
      </c>
    </row>
    <row r="9" spans="1:2" x14ac:dyDescent="0.3">
      <c r="A9" s="2"/>
    </row>
    <row r="11" spans="1:2" ht="18" x14ac:dyDescent="0.35">
      <c r="A11" s="1" t="s">
        <v>612</v>
      </c>
    </row>
    <row r="13" spans="1:2" x14ac:dyDescent="0.3">
      <c r="A13" s="5" t="s">
        <v>613</v>
      </c>
      <c r="B13" t="s">
        <v>615</v>
      </c>
    </row>
    <row r="14" spans="1:2" x14ac:dyDescent="0.3">
      <c r="A14" s="6" t="s">
        <v>67</v>
      </c>
      <c r="B14">
        <v>654094</v>
      </c>
    </row>
    <row r="15" spans="1:2" x14ac:dyDescent="0.3">
      <c r="A15" s="6" t="s">
        <v>104</v>
      </c>
      <c r="B15">
        <v>608860</v>
      </c>
    </row>
    <row r="16" spans="1:2" x14ac:dyDescent="0.3">
      <c r="A16" s="6" t="s">
        <v>205</v>
      </c>
      <c r="B16">
        <v>560520</v>
      </c>
    </row>
    <row r="17" spans="1:2" x14ac:dyDescent="0.3">
      <c r="A17" s="6" t="s">
        <v>163</v>
      </c>
      <c r="B17">
        <v>538041</v>
      </c>
    </row>
    <row r="18" spans="1:2" x14ac:dyDescent="0.3">
      <c r="A18" s="6" t="s">
        <v>31</v>
      </c>
      <c r="B18">
        <v>529274</v>
      </c>
    </row>
    <row r="19" spans="1:2" x14ac:dyDescent="0.3">
      <c r="A19" s="6" t="s">
        <v>138</v>
      </c>
      <c r="B19">
        <v>523699</v>
      </c>
    </row>
    <row r="20" spans="1:2" x14ac:dyDescent="0.3">
      <c r="A20" s="6" t="s">
        <v>216</v>
      </c>
      <c r="B20">
        <v>485314</v>
      </c>
    </row>
    <row r="21" spans="1:2" x14ac:dyDescent="0.3">
      <c r="A21" s="6" t="s">
        <v>93</v>
      </c>
      <c r="B21">
        <v>480018</v>
      </c>
    </row>
    <row r="22" spans="1:2" x14ac:dyDescent="0.3">
      <c r="A22" s="6" t="s">
        <v>255</v>
      </c>
      <c r="B22">
        <v>471260</v>
      </c>
    </row>
    <row r="23" spans="1:2" x14ac:dyDescent="0.3">
      <c r="A23" s="6" t="s">
        <v>135</v>
      </c>
      <c r="B23">
        <v>456584</v>
      </c>
    </row>
    <row r="24" spans="1:2" x14ac:dyDescent="0.3">
      <c r="A24" s="6" t="s">
        <v>270</v>
      </c>
      <c r="B24">
        <v>444655</v>
      </c>
    </row>
    <row r="25" spans="1:2" x14ac:dyDescent="0.3">
      <c r="A25" s="6" t="s">
        <v>209</v>
      </c>
      <c r="B25">
        <v>431381</v>
      </c>
    </row>
    <row r="26" spans="1:2" x14ac:dyDescent="0.3">
      <c r="A26" s="6" t="s">
        <v>470</v>
      </c>
      <c r="B26">
        <v>427167</v>
      </c>
    </row>
    <row r="27" spans="1:2" x14ac:dyDescent="0.3">
      <c r="A27" s="6" t="s">
        <v>409</v>
      </c>
      <c r="B27">
        <v>426947</v>
      </c>
    </row>
    <row r="28" spans="1:2" x14ac:dyDescent="0.3">
      <c r="A28" s="6" t="s">
        <v>100</v>
      </c>
      <c r="B28">
        <v>421520</v>
      </c>
    </row>
    <row r="29" spans="1:2" x14ac:dyDescent="0.3">
      <c r="A29" s="6" t="s">
        <v>188</v>
      </c>
      <c r="B29">
        <v>412652</v>
      </c>
    </row>
    <row r="30" spans="1:2" x14ac:dyDescent="0.3">
      <c r="A30" s="6" t="s">
        <v>462</v>
      </c>
      <c r="B30">
        <v>410581</v>
      </c>
    </row>
    <row r="31" spans="1:2" x14ac:dyDescent="0.3">
      <c r="A31" s="6" t="s">
        <v>437</v>
      </c>
      <c r="B31">
        <v>386625</v>
      </c>
    </row>
    <row r="32" spans="1:2" x14ac:dyDescent="0.3">
      <c r="A32" s="6" t="s">
        <v>80</v>
      </c>
      <c r="B32">
        <v>377186</v>
      </c>
    </row>
    <row r="33" spans="1:2" x14ac:dyDescent="0.3">
      <c r="A33" s="6" t="s">
        <v>344</v>
      </c>
      <c r="B33">
        <v>373362</v>
      </c>
    </row>
    <row r="34" spans="1:2" x14ac:dyDescent="0.3">
      <c r="A34" s="6" t="s">
        <v>552</v>
      </c>
      <c r="B34">
        <v>369801</v>
      </c>
    </row>
    <row r="35" spans="1:2" x14ac:dyDescent="0.3">
      <c r="A35" s="6" t="s">
        <v>114</v>
      </c>
      <c r="B35">
        <v>368248</v>
      </c>
    </row>
    <row r="36" spans="1:2" x14ac:dyDescent="0.3">
      <c r="A36" s="6" t="s">
        <v>37</v>
      </c>
      <c r="B36">
        <v>366526</v>
      </c>
    </row>
    <row r="37" spans="1:2" x14ac:dyDescent="0.3">
      <c r="A37" s="6" t="s">
        <v>19</v>
      </c>
      <c r="B37">
        <v>363454</v>
      </c>
    </row>
    <row r="38" spans="1:2" x14ac:dyDescent="0.3">
      <c r="A38" s="6" t="s">
        <v>416</v>
      </c>
      <c r="B38">
        <v>362663</v>
      </c>
    </row>
    <row r="39" spans="1:2" x14ac:dyDescent="0.3">
      <c r="A39" s="6" t="s">
        <v>89</v>
      </c>
      <c r="B39">
        <v>355236</v>
      </c>
    </row>
    <row r="40" spans="1:2" x14ac:dyDescent="0.3">
      <c r="A40" s="6" t="s">
        <v>304</v>
      </c>
      <c r="B40">
        <v>349880</v>
      </c>
    </row>
    <row r="41" spans="1:2" x14ac:dyDescent="0.3">
      <c r="A41" s="6" t="s">
        <v>155</v>
      </c>
      <c r="B41">
        <v>327985</v>
      </c>
    </row>
    <row r="42" spans="1:2" x14ac:dyDescent="0.3">
      <c r="A42" s="6" t="s">
        <v>495</v>
      </c>
      <c r="B42">
        <v>325611</v>
      </c>
    </row>
    <row r="43" spans="1:2" x14ac:dyDescent="0.3">
      <c r="A43" s="6" t="s">
        <v>356</v>
      </c>
      <c r="B43">
        <v>322470</v>
      </c>
    </row>
    <row r="44" spans="1:2" x14ac:dyDescent="0.3">
      <c r="A44" s="6" t="s">
        <v>614</v>
      </c>
      <c r="B44">
        <v>12931614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Data_Cleaning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divyansh kasera</cp:lastModifiedBy>
  <dcterms:created xsi:type="dcterms:W3CDTF">2026-07-01T06:52:20Z</dcterms:created>
  <dcterms:modified xsi:type="dcterms:W3CDTF">2026-07-15T04:36:14Z</dcterms:modified>
</cp:coreProperties>
</file>