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cbd1a208005d3667/Desktop/Excel Projects/"/>
    </mc:Choice>
  </mc:AlternateContent>
  <xr:revisionPtr revIDLastSave="0" documentId="8_{CCB5E02F-2D4B-4440-85F2-57BEFB206702}" xr6:coauthVersionLast="47" xr6:coauthVersionMax="47" xr10:uidLastSave="{00000000-0000-0000-0000-000000000000}"/>
  <bookViews>
    <workbookView xWindow="-108" yWindow="-108" windowWidth="23256" windowHeight="13896" xr2:uid="{AB5E8788-8D34-4BC7-B5B9-C3DBBBCCA538}"/>
  </bookViews>
  <sheets>
    <sheet name="Sheet1" sheetId="1" r:id="rId1"/>
    <sheet name="Sheet2" sheetId="3" r:id="rId2"/>
  </sheets>
  <definedNames>
    <definedName name="Slicer_Product">#N/A</definedName>
    <definedName name="Slicer_Region">#N/A</definedName>
  </definedNames>
  <calcPr calcId="191029" iterateDelta="1E-4"/>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3"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G22" i="3"/>
  <c r="G21" i="3"/>
  <c r="G19" i="3"/>
  <c r="G18" i="3"/>
  <c r="F22" i="3"/>
  <c r="F21" i="3"/>
  <c r="F20" i="3"/>
  <c r="F18" i="3"/>
  <c r="F19" i="3"/>
</calcChain>
</file>

<file path=xl/sharedStrings.xml><?xml version="1.0" encoding="utf-8"?>
<sst xmlns="http://schemas.openxmlformats.org/spreadsheetml/2006/main" count="1039" uniqueCount="275">
  <si>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</si>
  <si>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</si>
  <si>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</si>
  <si>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</si>
  <si>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</si>
  <si>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</si>
  <si>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</si>
  <si>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</si>
  <si>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</si>
  <si>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</si>
  <si>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</si>
  <si>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</si>
  <si>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</si>
  <si>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</si>
  <si>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</si>
  <si>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</si>
  <si>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</si>
  <si>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</si>
  <si>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</si>
  <si>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</si>
  <si>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</si>
  <si>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</si>
  <si>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</si>
  <si>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</si>
  <si>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</si>
  <si>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</si>
  <si>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</si>
  <si>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</si>
  <si>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</si>
  <si>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</si>
  <si>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</si>
  <si>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</si>
  <si>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</si>
  <si>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</si>
  <si>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</si>
  <si>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</si>
  <si>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</si>
  <si>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</si>
  <si>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</si>
  <si>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</si>
  <si>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</si>
  <si>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</si>
  <si>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</si>
  <si>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</si>
  <si>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</si>
  <si>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</si>
  <si>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</si>
  <si>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</si>
  <si>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</si>
  <si>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</si>
  <si>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</si>
  <si>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</si>
  <si>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</si>
  <si>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</si>
  <si>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</si>
  <si>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</si>
  <si>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</si>
  <si>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</si>
  <si>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</si>
  <si>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</si>
  <si>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</si>
  <si>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</si>
  <si>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</si>
  <si>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</si>
  <si>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</si>
  <si>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</si>
  <si>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</si>
  <si>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</si>
  <si>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</si>
  <si>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</si>
  <si>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</si>
  <si>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</si>
  <si>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</si>
  <si>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</si>
  <si>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</si>
  <si>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</si>
  <si>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</si>
  <si>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</si>
  <si>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</si>
  <si>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</si>
  <si>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</si>
  <si>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</si>
  <si>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</si>
  <si>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</si>
  <si>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</si>
  <si>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</si>
  <si>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</si>
  <si>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</si>
  <si>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</si>
  <si>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</si>
  <si>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</si>
  <si>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</si>
  <si>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</si>
  <si>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</si>
  <si>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</si>
  <si>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</si>
  <si>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</si>
  <si>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</si>
  <si>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</si>
  <si>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</si>
  <si>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</si>
  <si>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</si>
  <si>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</si>
  <si>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</si>
  <si>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</si>
  <si>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</si>
  <si>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</si>
  <si>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</si>
  <si>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</si>
  <si>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</si>
  <si>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</si>
  <si>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</si>
  <si>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</si>
  <si>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</si>
  <si>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</si>
  <si>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</si>
  <si>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</si>
  <si>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</si>
  <si>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</si>
  <si>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</si>
  <si>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</si>
  <si>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</si>
  <si>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</si>
  <si>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</si>
  <si>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</si>
  <si>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</si>
  <si>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</si>
  <si>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</si>
  <si>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</si>
  <si>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</si>
  <si>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</si>
  <si>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</si>
  <si>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</si>
  <si>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</si>
  <si>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</si>
  <si>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</si>
  <si>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</si>
  <si>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</si>
  <si>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</si>
  <si>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</si>
  <si>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</si>
  <si>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</si>
  <si>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</si>
  <si>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</si>
  <si>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</si>
  <si>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</si>
  <si>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</si>
  <si>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</si>
  <si>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</si>
  <si>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</si>
  <si>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</si>
  <si>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</si>
  <si>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</si>
  <si>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</si>
  <si>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</si>
  <si>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</si>
  <si>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</si>
  <si>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</si>
  <si>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</si>
  <si>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</si>
  <si>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</si>
  <si>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</si>
  <si>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</si>
  <si>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</si>
  <si>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</si>
  <si>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</si>
  <si>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</si>
  <si>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</si>
  <si>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</si>
  <si>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</si>
  <si>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</si>
  <si>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</si>
  <si>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</si>
  <si>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</si>
  <si>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</si>
  <si>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</si>
  <si>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</si>
  <si>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</si>
  <si>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</si>
  <si>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</si>
  <si>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</si>
  <si>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</si>
  <si>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</si>
  <si>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</si>
  <si>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</si>
  <si>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</si>
  <si>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</si>
  <si>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</si>
  <si>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</si>
  <si>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</si>
  <si>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</si>
  <si>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</si>
  <si>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</si>
  <si>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</si>
  <si>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</si>
  <si>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</si>
  <si>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</si>
  <si>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</si>
  <si>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</si>
  <si>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</si>
  <si>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</si>
  <si>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</si>
  <si>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</si>
  <si>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</si>
  <si>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</si>
  <si>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</si>
  <si>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</si>
  <si>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</si>
  <si>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</si>
  <si>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</si>
  <si>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</si>
  <si>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</si>
  <si>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</si>
  <si>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</si>
  <si>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</si>
  <si>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</si>
  <si>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</si>
  <si>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</si>
  <si>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</si>
  <si>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</si>
  <si>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</si>
  <si>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</si>
  <si>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</si>
  <si>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</si>
  <si>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</si>
  <si>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</si>
  <si>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</si>
  <si>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</si>
  <si>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</si>
  <si>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</si>
  <si>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</si>
  <si>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</si>
  <si>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</si>
  <si>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</si>
  <si>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</si>
  <si>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</si>
  <si>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</si>
  <si>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</si>
  <si>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</si>
  <si>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</si>
  <si>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</si>
  <si>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</si>
  <si>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</si>
  <si>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</si>
  <si>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</si>
  <si>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</si>
  <si>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</si>
  <si>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</si>
  <si>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</si>
  <si>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</si>
  <si>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</si>
  <si>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</si>
  <si>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</si>
  <si>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</si>
  <si>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</si>
  <si>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</si>
  <si>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Region-Wise Sale's</t>
  </si>
  <si>
    <t>Sum of TotalPrice</t>
  </si>
  <si>
    <t>Row Labels</t>
  </si>
  <si>
    <t>Grand Total</t>
  </si>
  <si>
    <t>Total ORDERS</t>
  </si>
  <si>
    <t>Month</t>
  </si>
  <si>
    <t>March</t>
  </si>
  <si>
    <t>June</t>
  </si>
  <si>
    <t>Sum of Quantity</t>
  </si>
  <si>
    <t>January</t>
  </si>
  <si>
    <t>February</t>
  </si>
  <si>
    <t>April</t>
  </si>
  <si>
    <t>May</t>
  </si>
  <si>
    <t>July</t>
  </si>
  <si>
    <t>October</t>
  </si>
  <si>
    <t>December</t>
  </si>
  <si>
    <t>August</t>
  </si>
  <si>
    <t>September</t>
  </si>
  <si>
    <t>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</si>
</sst>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164" fontId="0" fillId="0" borderId="0" xfId="0" applyNumberFormat="1"/>
    <xf numFmtId="0" fontId="1" fillId="0" borderId="2" xfId="0" applyFont="1" applyBorder="1" applyAlignment="1">
      <alignment horizontal="center" vertical="top"/>
    </xf>
    <xf numFmtId="0" fontId="0" fillId="0" borderId="1" xfId="0" pivotButton="1" applyBorder="1"/>
    <xf numFmtId="0" fontId="0" fillId="0" borderId="1" xfId="0" applyBorder="1" applyAlignment="1">
      <alignment horizontal="left"/>
    </xf>
    <xf numFmtId="0" fontId="0" fillId="2" borderId="1" xfId="0" applyFill="1" applyBorder="1" applyAlignment="1">
      <alignment wrapText="1"/>
    </xf>
    <xf numFmtId="0" fontId="0" fillId="0" borderId="1" xfId="0" applyBorder="1"/>
    <xf numFmtId="0" fontId="0" fillId="0" borderId="1" xfId="0" applyBorder="1" applyAlignment="1">
      <alignment wrapText="1"/>
    </xf>
    <xf numFmtId="0" fontId="0" fillId="0" borderId="1" xfId="0" pivotButton="1" applyBorder="1" applyAlignment="1">
      <alignment wrapText="1"/>
    </xf>
    <xf numFmtId="0" fontId="0" fillId="0" borderId="1" xfId="0" applyBorder="1" applyAlignment="1">
      <alignment horizontal="left" wrapText="1"/>
    </xf>
    <xf numFmtId="0" fontId="0" fillId="2" borderId="1" xfId="0" applyFill="1" applyBorder="1" applyAlignment="1">
      <alignment horizontal="center"/>
    </xf>
  </cellXfs>
  <cellStyles count="1">
    <cellStyle name="Normal" xfId="0" builtinId="0"/>
  </cellStyles>
  <dxfs count="4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alignment wrapText="1"/>
    </dxf>
    <dxf>
      <alignment wrapText="1"/>
    </dxf>
    <dxf>
      <alignment wrapText="1"/>
    </dxf>
    <dxf>
      <alignment wrapText="1"/>
    </dxf>
    <dxf>
      <alignment wrapText="1"/>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Data.xlsx]Sheet2!PivotTable2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Monthly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Sheet2!$C$3:$C$15</c:f>
              <c:numCache>
                <c:formatCode>General</c:formatCode>
                <c:ptCount val="12"/>
                <c:pt idx="0">
                  <c:v>35526.483</c:v>
                </c:pt>
                <c:pt idx="1">
                  <c:v>37971.304000000004</c:v>
                </c:pt>
                <c:pt idx="2">
                  <c:v>41071.667499999996</c:v>
                </c:pt>
                <c:pt idx="3">
                  <c:v>27095.969499999999</c:v>
                </c:pt>
                <c:pt idx="4">
                  <c:v>36831.326499999996</c:v>
                </c:pt>
                <c:pt idx="5">
                  <c:v>22365.816999999995</c:v>
                </c:pt>
                <c:pt idx="6">
                  <c:v>26315.795999999998</c:v>
                </c:pt>
                <c:pt idx="7">
                  <c:v>6938.1840000000011</c:v>
                </c:pt>
                <c:pt idx="8">
                  <c:v>6626.2020000000002</c:v>
                </c:pt>
                <c:pt idx="9">
                  <c:v>27776.313499999997</c:v>
                </c:pt>
                <c:pt idx="10">
                  <c:v>26981.652499999997</c:v>
                </c:pt>
                <c:pt idx="11">
                  <c:v>20919.361000000001</c:v>
                </c:pt>
              </c:numCache>
            </c:numRef>
          </c:val>
          <c:smooth val="0"/>
          <c:extLst>
            <c:ext xmlns:c16="http://schemas.microsoft.com/office/drawing/2014/chart" uri="{C3380CC4-5D6E-409C-BE32-E72D297353CC}">
              <c16:uniqueId val="{00000000-EE0F-4FEE-B58D-9C6C7506ACB3}"/>
            </c:ext>
          </c:extLst>
        </c:ser>
        <c:dLbls>
          <c:showLegendKey val="0"/>
          <c:showVal val="0"/>
          <c:showCatName val="0"/>
          <c:showSerName val="0"/>
          <c:showPercent val="0"/>
          <c:showBubbleSize val="0"/>
        </c:dLbls>
        <c:marker val="1"/>
        <c:smooth val="0"/>
        <c:axId val="1076550288"/>
        <c:axId val="1076551248"/>
      </c:lineChart>
      <c:catAx>
        <c:axId val="1076550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551248"/>
        <c:crosses val="autoZero"/>
        <c:auto val="1"/>
        <c:lblAlgn val="ctr"/>
        <c:lblOffset val="100"/>
        <c:noMultiLvlLbl val="0"/>
      </c:catAx>
      <c:valAx>
        <c:axId val="1076551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55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Data.xlsx]Sheet2!PivotTable3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Sheet2!$F$2</c:f>
              <c:strCache>
                <c:ptCount val="1"/>
                <c:pt idx="0">
                  <c:v>Sum of TotalPrice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Sheet2!$E$3:$E$10</c:f>
              <c:strCache>
                <c:ptCount val="7"/>
                <c:pt idx="0">
                  <c:v>Chair</c:v>
                </c:pt>
                <c:pt idx="1">
                  <c:v>Desk</c:v>
                </c:pt>
                <c:pt idx="2">
                  <c:v>Laptop</c:v>
                </c:pt>
                <c:pt idx="3">
                  <c:v>Monitor</c:v>
                </c:pt>
                <c:pt idx="4">
                  <c:v>Phone</c:v>
                </c:pt>
                <c:pt idx="5">
                  <c:v>Printer</c:v>
                </c:pt>
                <c:pt idx="6">
                  <c:v>Tablet</c:v>
                </c:pt>
              </c:strCache>
            </c:strRef>
          </c:cat>
          <c:val>
            <c:numRef>
              <c:f>Sheet2!$F$3:$F$10</c:f>
              <c:numCache>
                <c:formatCode>General</c:formatCode>
                <c:ptCount val="7"/>
                <c:pt idx="0">
                  <c:v>47507.756499999996</c:v>
                </c:pt>
                <c:pt idx="1">
                  <c:v>61269.575999999994</c:v>
                </c:pt>
                <c:pt idx="2">
                  <c:v>55555.426500000001</c:v>
                </c:pt>
                <c:pt idx="3">
                  <c:v>24137.040000000001</c:v>
                </c:pt>
                <c:pt idx="4">
                  <c:v>52564.610499999995</c:v>
                </c:pt>
                <c:pt idx="5">
                  <c:v>21996.18</c:v>
                </c:pt>
                <c:pt idx="6">
                  <c:v>53389.487000000008</c:v>
                </c:pt>
              </c:numCache>
            </c:numRef>
          </c:val>
          <c:extLst>
            <c:ext xmlns:c16="http://schemas.microsoft.com/office/drawing/2014/chart" uri="{C3380CC4-5D6E-409C-BE32-E72D297353CC}">
              <c16:uniqueId val="{00000000-7D39-4526-A0EE-3CF2E1AB2228}"/>
            </c:ext>
          </c:extLst>
        </c:ser>
        <c:ser>
          <c:idx val="1"/>
          <c:order val="1"/>
          <c:tx>
            <c:strRef>
              <c:f>Sheet2!$G$2</c:f>
              <c:strCache>
                <c:ptCount val="1"/>
                <c:pt idx="0">
                  <c:v>Sum of Quantity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Sheet2!$E$3:$E$10</c:f>
              <c:strCache>
                <c:ptCount val="7"/>
                <c:pt idx="0">
                  <c:v>Chair</c:v>
                </c:pt>
                <c:pt idx="1">
                  <c:v>Desk</c:v>
                </c:pt>
                <c:pt idx="2">
                  <c:v>Laptop</c:v>
                </c:pt>
                <c:pt idx="3">
                  <c:v>Monitor</c:v>
                </c:pt>
                <c:pt idx="4">
                  <c:v>Phone</c:v>
                </c:pt>
                <c:pt idx="5">
                  <c:v>Printer</c:v>
                </c:pt>
                <c:pt idx="6">
                  <c:v>Tablet</c:v>
                </c:pt>
              </c:strCache>
            </c:strRef>
          </c:cat>
          <c:val>
            <c:numRef>
              <c:f>Sheet2!$G$3:$G$10</c:f>
              <c:numCache>
                <c:formatCode>General</c:formatCode>
                <c:ptCount val="7"/>
                <c:pt idx="0">
                  <c:v>169</c:v>
                </c:pt>
                <c:pt idx="1">
                  <c:v>194</c:v>
                </c:pt>
                <c:pt idx="2">
                  <c:v>188</c:v>
                </c:pt>
                <c:pt idx="3">
                  <c:v>110</c:v>
                </c:pt>
                <c:pt idx="4">
                  <c:v>161</c:v>
                </c:pt>
                <c:pt idx="5">
                  <c:v>79</c:v>
                </c:pt>
                <c:pt idx="6">
                  <c:v>170</c:v>
                </c:pt>
              </c:numCache>
            </c:numRef>
          </c:val>
          <c:extLst>
            <c:ext xmlns:c16="http://schemas.microsoft.com/office/drawing/2014/chart" uri="{C3380CC4-5D6E-409C-BE32-E72D297353CC}">
              <c16:uniqueId val="{00000001-7D39-4526-A0EE-3CF2E1AB2228}"/>
            </c:ext>
          </c:extLst>
        </c:ser>
        <c:dLbls>
          <c:dLblPos val="outEnd"/>
          <c:showLegendKey val="0"/>
          <c:showVal val="1"/>
          <c:showCatName val="0"/>
          <c:showSerName val="0"/>
          <c:showPercent val="0"/>
          <c:showBubbleSize val="0"/>
        </c:dLbls>
        <c:gapWidth val="100"/>
        <c:overlap val="-24"/>
        <c:axId val="365890448"/>
        <c:axId val="365891408"/>
      </c:barChart>
      <c:catAx>
        <c:axId val="3658904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91408"/>
        <c:crosses val="autoZero"/>
        <c:auto val="1"/>
        <c:lblAlgn val="ctr"/>
        <c:lblOffset val="100"/>
        <c:noMultiLvlLbl val="0"/>
      </c:catAx>
      <c:valAx>
        <c:axId val="36589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9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Data.xlsx]Sheet2!PivotTable4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Region-wise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a:noFill/>
          </a:ln>
          <a:effectLst>
            <a:outerShdw blurRad="254000" sx="102000" sy="102000" algn="ctr" rotWithShape="0">
              <a:prstClr val="black">
                <a:alpha val="20000"/>
              </a:prstClr>
            </a:outerShdw>
          </a:effectLst>
        </c:spPr>
      </c:pivotFmt>
      <c:pivotFmt>
        <c:idx val="2"/>
        <c:spPr>
          <a:solidFill>
            <a:schemeClr val="accent1">
              <a:shade val="76000"/>
            </a:schemeClr>
          </a:solidFill>
          <a:ln>
            <a:noFill/>
          </a:ln>
          <a:effectLst>
            <a:outerShdw blurRad="254000" sx="102000" sy="102000" algn="ctr" rotWithShape="0">
              <a:prstClr val="black">
                <a:alpha val="20000"/>
              </a:prstClr>
            </a:outerShdw>
          </a:effectLst>
        </c:spPr>
      </c:pivotFmt>
      <c:pivotFmt>
        <c:idx val="3"/>
        <c:spPr>
          <a:solidFill>
            <a:schemeClr val="accent1">
              <a:shade val="86000"/>
            </a:schemeClr>
          </a:solidFill>
          <a:ln>
            <a:noFill/>
          </a:ln>
          <a:effectLst>
            <a:outerShdw blurRad="254000" sx="102000" sy="102000" algn="ctr" rotWithShape="0">
              <a:prstClr val="black">
                <a:alpha val="20000"/>
              </a:prstClr>
            </a:outerShdw>
          </a:effectLst>
        </c:spPr>
      </c:pivotFmt>
      <c:pivotFmt>
        <c:idx val="4"/>
        <c:spPr>
          <a:solidFill>
            <a:schemeClr val="accent1">
              <a:tint val="77000"/>
            </a:schemeClr>
          </a:solidFill>
          <a:ln>
            <a:noFill/>
          </a:ln>
          <a:effectLst>
            <a:outerShdw blurRad="254000" sx="102000" sy="102000" algn="ctr" rotWithShape="0">
              <a:prstClr val="black">
                <a:alpha val="20000"/>
              </a:prstClr>
            </a:outerShdw>
          </a:effectLst>
        </c:spPr>
      </c:pivotFmt>
      <c:pivotFmt>
        <c:idx val="5"/>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Sheet2!$C$17</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DF7-4E30-AA8E-18C7DDF9FD64}"/>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DF7-4E30-AA8E-18C7DDF9FD64}"/>
              </c:ext>
            </c:extLst>
          </c:dPt>
          <c:dPt>
            <c:idx val="2"/>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DF7-4E30-AA8E-18C7DDF9FD64}"/>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DF7-4E30-AA8E-18C7DDF9FD64}"/>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DF7-4E30-AA8E-18C7DDF9FD6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Sheet2!$B$18:$B$23</c:f>
              <c:strCache>
                <c:ptCount val="5"/>
                <c:pt idx="0">
                  <c:v>Central</c:v>
                </c:pt>
                <c:pt idx="1">
                  <c:v>East</c:v>
                </c:pt>
                <c:pt idx="2">
                  <c:v>North</c:v>
                </c:pt>
                <c:pt idx="3">
                  <c:v>South</c:v>
                </c:pt>
                <c:pt idx="4">
                  <c:v>West</c:v>
                </c:pt>
              </c:strCache>
            </c:strRef>
          </c:cat>
          <c:val>
            <c:numRef>
              <c:f>Sheet2!$C$18:$C$23</c:f>
              <c:numCache>
                <c:formatCode>General</c:formatCode>
                <c:ptCount val="5"/>
                <c:pt idx="0">
                  <c:v>93552.871000000028</c:v>
                </c:pt>
                <c:pt idx="1">
                  <c:v>56705.127499999988</c:v>
                </c:pt>
                <c:pt idx="2">
                  <c:v>63998.01249999999</c:v>
                </c:pt>
                <c:pt idx="3">
                  <c:v>59673.343499999995</c:v>
                </c:pt>
                <c:pt idx="4">
                  <c:v>42490.721999999994</c:v>
                </c:pt>
              </c:numCache>
            </c:numRef>
          </c:val>
          <c:extLst>
            <c:ext xmlns:c16="http://schemas.microsoft.com/office/drawing/2014/chart" uri="{C3380CC4-5D6E-409C-BE32-E72D297353CC}">
              <c16:uniqueId val="{00000000-5AEF-447C-B851-F4AE668BC88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408125</xdr:colOff>
      <xdr:row>0</xdr:row>
      <xdr:rowOff>113413</xdr:rowOff>
    </xdr:from>
    <xdr:to>
      <xdr:col>20</xdr:col>
      <xdr:colOff>93816</xdr:colOff>
      <xdr:row>15</xdr:row>
      <xdr:rowOff>104233</xdr:rowOff>
    </xdr:to>
    <xdr:graphicFrame macro="">
      <xdr:nvGraphicFramePr>
        <xdr:cNvPr id="3" name="Chart 2">
          <a:extLst>
            <a:ext uri="{FF2B5EF4-FFF2-40B4-BE49-F238E27FC236}">
              <a16:creationId xmlns:a16="http://schemas.microsoft.com/office/drawing/2014/main" id="{BE3BA996-0554-5439-A8F5-E9AAC886A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507323</xdr:colOff>
      <xdr:row>0</xdr:row>
      <xdr:rowOff>52563</xdr:rowOff>
    </xdr:from>
    <xdr:to>
      <xdr:col>13</xdr:col>
      <xdr:colOff>14419</xdr:colOff>
      <xdr:row>16</xdr:row>
      <xdr:rowOff>73465</xdr:rowOff>
    </xdr:to>
    <xdr:graphicFrame macro="">
      <xdr:nvGraphicFramePr>
        <xdr:cNvPr id="4" name="Chart 3">
          <a:extLst>
            <a:ext uri="{FF2B5EF4-FFF2-40B4-BE49-F238E27FC236}">
              <a16:creationId xmlns:a16="http://schemas.microsoft.com/office/drawing/2014/main" id="{C525207A-2A3D-A9B1-E32E-D6947B896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98217</xdr:colOff>
      <xdr:row>16</xdr:row>
      <xdr:rowOff>287257</xdr:rowOff>
    </xdr:from>
    <xdr:to>
      <xdr:col>13</xdr:col>
      <xdr:colOff>73444</xdr:colOff>
      <xdr:row>31</xdr:row>
      <xdr:rowOff>36722</xdr:rowOff>
    </xdr:to>
    <xdr:graphicFrame macro="">
      <xdr:nvGraphicFramePr>
        <xdr:cNvPr id="5" name="Chart 4">
          <a:extLst>
            <a:ext uri="{FF2B5EF4-FFF2-40B4-BE49-F238E27FC236}">
              <a16:creationId xmlns:a16="http://schemas.microsoft.com/office/drawing/2014/main" id="{7395A4CD-7484-C00D-794F-33D5A69B7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712996</xdr:colOff>
      <xdr:row>16</xdr:row>
      <xdr:rowOff>317097</xdr:rowOff>
    </xdr:from>
    <xdr:to>
      <xdr:col>16</xdr:col>
      <xdr:colOff>183631</xdr:colOff>
      <xdr:row>26</xdr:row>
      <xdr:rowOff>51863</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8AE64DA-2FA1-AFF4-9297-8139A6B21C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62635" y="3438543"/>
              <a:ext cx="1830081" cy="1754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343634</xdr:colOff>
      <xdr:row>16</xdr:row>
      <xdr:rowOff>305719</xdr:rowOff>
    </xdr:from>
    <xdr:to>
      <xdr:col>19</xdr:col>
      <xdr:colOff>88410</xdr:colOff>
      <xdr:row>28</xdr:row>
      <xdr:rowOff>128531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4F706A81-A5BD-602E-42B3-FD89CB24EAA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352718" y="3427165"/>
              <a:ext cx="1828800" cy="220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0.375806828706" createdVersion="8" refreshedVersion="8" minRefreshableVersion="3" recordCount="100" xr:uid="{2549E4F3-442E-4DF9-96FD-B65EA7811490}">
  <cacheSource type="worksheet">
    <worksheetSource ref="A1:T101" sheet="Sheet1"/>
  </cacheSource>
  <cacheFields count="20">
    <cacheField name="Date" numFmtId="164">
      <sharedItems containsSemiMixedTypes="0" containsNonDate="0" containsDate="1" containsString="0" minDate="2023-01-05T00:00:00" maxDate="2025-06-2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15.85" maxValue="582.5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101.73" maxValue="9870.1200000000008"/>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05"/>
    </cacheField>
    <cacheField name="OrderDate" numFmtId="164">
      <sharedItems containsSemiMixedTypes="0" containsNonDate="0" containsDate="1" containsString="0" minDate="2023-01-05T00:00:00" maxDate="2025-06-21T00:00:00"/>
    </cacheField>
    <cacheField name="DeliveryDate" numFmtId="164">
      <sharedItems containsSemiMixedTypes="0" containsNonDate="0" containsDate="1" containsString="0" minDate="2023-01-11T00:00:00" maxDate="2025-07-01T00:00:00"/>
    </cacheField>
    <cacheField name="RegionManager" numFmtId="0">
      <sharedItems/>
    </cacheField>
    <cacheField name="Month" numFmtId="0">
      <sharedItems count="12">
        <s v="February"/>
        <s v="December"/>
        <s v="May"/>
        <s v="June"/>
        <s v="January"/>
        <s v="October"/>
        <s v="March"/>
        <s v="April"/>
        <s v="July"/>
        <s v="November"/>
        <s v="August"/>
        <s v="September"/>
      </sharedItems>
    </cacheField>
  </cacheFields>
  <extLst>
    <ext xmlns:x14="http://schemas.microsoft.com/office/spreadsheetml/2009/9/main" uri="{725AE2AE-9491-48be-B2B4-4EB974FC3084}">
      <x14:pivotCacheDefinition pivotCacheId="1651068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3-02-23T00:00:00"/>
    <x v="0"/>
    <x v="0"/>
    <n v="14"/>
    <n v="163.6"/>
    <s v="Store B"/>
    <s v="Wholesale"/>
    <n v="0"/>
    <s v="Eva"/>
    <n v="2290.4"/>
    <s v="Online"/>
    <s v="FREESHIP"/>
    <n v="0"/>
    <s v="REG100000"/>
    <s v="Cust 6583"/>
    <n v="43.34"/>
    <d v="2023-02-23T00:00:00"/>
    <d v="2023-02-27T00:00:00"/>
    <s v="Eric"/>
    <x v="0"/>
  </r>
  <r>
    <d v="2024-12-19T00:00:00"/>
    <x v="1"/>
    <x v="1"/>
    <n v="1"/>
    <n v="544.01"/>
    <s v="Store A"/>
    <s v="Retail"/>
    <n v="0"/>
    <s v="Alice"/>
    <n v="544.01"/>
    <s v="Gift Card"/>
    <s v="SAVE10"/>
    <n v="0"/>
    <s v="REG100001"/>
    <s v="Cust 2144"/>
    <n v="5.3"/>
    <d v="2024-12-19T00:00:00"/>
    <d v="2024-12-28T00:00:00"/>
    <s v="Sophie"/>
    <x v="1"/>
  </r>
  <r>
    <d v="2023-05-10T00:00:00"/>
    <x v="2"/>
    <x v="2"/>
    <n v="14"/>
    <n v="346.18"/>
    <s v="Store B"/>
    <s v="Wholesale"/>
    <n v="0.1"/>
    <s v="Alice"/>
    <n v="4361.8680000000004"/>
    <s v="Online"/>
    <s v="WINTER15"/>
    <n v="0"/>
    <s v="REG100002"/>
    <s v="Cust 5998"/>
    <n v="20.46"/>
    <d v="2023-05-10T00:00:00"/>
    <d v="2023-05-19T00:00:00"/>
    <s v="Ryan"/>
    <x v="2"/>
  </r>
  <r>
    <d v="2025-02-26T00:00:00"/>
    <x v="3"/>
    <x v="3"/>
    <n v="18"/>
    <n v="384.82"/>
    <s v="Store A"/>
    <s v="Wholesale"/>
    <n v="0.15"/>
    <s v="Frank"/>
    <n v="5887.7460000000001"/>
    <s v="Gift Card"/>
    <s v="FREESHIP"/>
    <n v="0"/>
    <s v="REG100003"/>
    <s v="Cust 7136"/>
    <n v="27.95"/>
    <d v="2025-02-26T00:00:00"/>
    <d v="2025-03-02T00:00:00"/>
    <s v="Cameron"/>
    <x v="0"/>
  </r>
  <r>
    <d v="2023-06-24T00:00:00"/>
    <x v="0"/>
    <x v="2"/>
    <n v="18"/>
    <n v="237.76"/>
    <s v="Store C"/>
    <s v="Retail"/>
    <n v="0"/>
    <s v="Carlos"/>
    <n v="4279.68"/>
    <s v="Online"/>
    <s v="SAVE10"/>
    <n v="0"/>
    <s v="REG100004"/>
    <s v="Cust 6506"/>
    <n v="5.73"/>
    <d v="2023-06-24T00:00:00"/>
    <d v="2023-06-27T00:00:00"/>
    <s v="Eric"/>
    <x v="3"/>
  </r>
  <r>
    <d v="2024-02-20T00:00:00"/>
    <x v="3"/>
    <x v="4"/>
    <n v="2"/>
    <n v="385.09"/>
    <s v="Store D"/>
    <s v="Wholesale"/>
    <n v="0.15"/>
    <s v="Diana"/>
    <n v="654.65299999999991"/>
    <s v="Credit Card"/>
    <m/>
    <n v="0"/>
    <s v="REG100005"/>
    <s v="Cust 3909"/>
    <n v="11.92"/>
    <d v="2024-02-20T00:00:00"/>
    <d v="2024-03-01T00:00:00"/>
    <s v="Cameron"/>
    <x v="0"/>
  </r>
  <r>
    <d v="2023-01-11T00:00:00"/>
    <x v="1"/>
    <x v="3"/>
    <n v="7"/>
    <n v="17.5"/>
    <s v="Store C"/>
    <s v="Retail"/>
    <n v="0.1"/>
    <s v="Alice"/>
    <n v="110.25"/>
    <s v="Debit Card"/>
    <s v="WINTER15"/>
    <n v="0"/>
    <s v="REG100006"/>
    <s v="Cust 7887"/>
    <n v="5.0199999999999996"/>
    <d v="2023-01-11T00:00:00"/>
    <d v="2023-01-14T00:00:00"/>
    <s v="Sophie"/>
    <x v="4"/>
  </r>
  <r>
    <d v="2023-01-09T00:00:00"/>
    <x v="3"/>
    <x v="3"/>
    <n v="3"/>
    <n v="330.22"/>
    <s v="Store C"/>
    <s v="Wholesale"/>
    <n v="0.15"/>
    <s v="Carlos"/>
    <n v="842.06100000000004"/>
    <s v="Cash"/>
    <m/>
    <n v="0"/>
    <s v="REG100007"/>
    <s v="Cust 5301"/>
    <n v="48.01"/>
    <d v="2023-01-09T00:00:00"/>
    <d v="2023-01-11T00:00:00"/>
    <s v="Cameron"/>
    <x v="4"/>
  </r>
  <r>
    <d v="2024-10-16T00:00:00"/>
    <x v="1"/>
    <x v="3"/>
    <n v="3"/>
    <n v="432.04"/>
    <s v="Store D"/>
    <s v="Wholesale"/>
    <n v="0.05"/>
    <s v="Bob"/>
    <n v="1231.3140000000001"/>
    <s v="Debit Card"/>
    <s v="FREESHIP"/>
    <n v="1"/>
    <s v="REG100008"/>
    <s v="Cust 2284"/>
    <n v="42.11"/>
    <d v="2024-10-16T00:00:00"/>
    <d v="2024-10-18T00:00:00"/>
    <s v="Sophie"/>
    <x v="5"/>
  </r>
  <r>
    <d v="2025-03-05T00:00:00"/>
    <x v="4"/>
    <x v="2"/>
    <n v="5"/>
    <n v="323.27999999999997"/>
    <s v="Store D"/>
    <s v="Retail"/>
    <n v="0.1"/>
    <s v="Frank"/>
    <n v="1454.76"/>
    <s v="Gift Card"/>
    <s v="SAVE10"/>
    <n v="0"/>
    <s v="REG100009"/>
    <s v="Cust 3732"/>
    <n v="41.1"/>
    <d v="2025-03-05T00:00:00"/>
    <d v="2025-03-13T00:00:00"/>
    <s v="Wendy"/>
    <x v="6"/>
  </r>
  <r>
    <d v="2024-04-10T00:00:00"/>
    <x v="2"/>
    <x v="2"/>
    <n v="15"/>
    <n v="523.29"/>
    <s v="Store B"/>
    <s v="Wholesale"/>
    <n v="0.15"/>
    <s v="Eva"/>
    <n v="6671.9474999999993"/>
    <s v="Debit Card"/>
    <m/>
    <n v="0"/>
    <s v="REG100010"/>
    <s v="Cust 1462"/>
    <n v="12.14"/>
    <d v="2024-04-10T00:00:00"/>
    <d v="2024-04-17T00:00:00"/>
    <s v="Ryan"/>
    <x v="7"/>
  </r>
  <r>
    <d v="2024-07-12T00:00:00"/>
    <x v="0"/>
    <x v="1"/>
    <n v="19"/>
    <n v="207.35"/>
    <s v="Store D"/>
    <s v="Retail"/>
    <n v="0.1"/>
    <s v="Eva"/>
    <n v="3545.6849999999999"/>
    <s v="Gift Card"/>
    <m/>
    <n v="1"/>
    <s v="REG100011"/>
    <s v="Cust 4330"/>
    <n v="44.89"/>
    <d v="2024-07-12T00:00:00"/>
    <d v="2024-07-18T00:00:00"/>
    <s v="Eric"/>
    <x v="8"/>
  </r>
  <r>
    <d v="2023-07-21T00:00:00"/>
    <x v="3"/>
    <x v="1"/>
    <n v="1"/>
    <n v="120.53"/>
    <s v="Store B"/>
    <s v="Retail"/>
    <n v="0.05"/>
    <s v="Diana"/>
    <n v="114.5035"/>
    <s v="Cash"/>
    <s v="WINTER15"/>
    <n v="0"/>
    <s v="REG100012"/>
    <s v="Cust 2372"/>
    <n v="20.350000000000001"/>
    <d v="2023-07-21T00:00:00"/>
    <d v="2023-07-31T00:00:00"/>
    <s v="Cameron"/>
    <x v="8"/>
  </r>
  <r>
    <d v="2025-01-18T00:00:00"/>
    <x v="4"/>
    <x v="5"/>
    <n v="1"/>
    <n v="157.83000000000001"/>
    <s v="Store A"/>
    <s v="Wholesale"/>
    <n v="0.15"/>
    <s v="Carlos"/>
    <n v="134.15549999999999"/>
    <s v="Debit Card"/>
    <m/>
    <n v="0"/>
    <s v="REG100013"/>
    <s v="Cust 4672"/>
    <n v="42.82"/>
    <d v="2025-01-18T00:00:00"/>
    <d v="2025-01-22T00:00:00"/>
    <s v="Wendy"/>
    <x v="4"/>
  </r>
  <r>
    <d v="2024-12-08T00:00:00"/>
    <x v="2"/>
    <x v="2"/>
    <n v="15"/>
    <n v="220.3"/>
    <s v="Store B"/>
    <s v="Retail"/>
    <n v="0.15"/>
    <s v="Diana"/>
    <n v="2808.8249999999998"/>
    <s v="Debit Card"/>
    <m/>
    <n v="0"/>
    <s v="REG100014"/>
    <s v="Cust 4548"/>
    <n v="39.659999999999997"/>
    <d v="2024-12-08T00:00:00"/>
    <d v="2024-12-15T00:00:00"/>
    <s v="Ryan"/>
    <x v="1"/>
  </r>
  <r>
    <d v="2025-05-11T00:00:00"/>
    <x v="4"/>
    <x v="3"/>
    <n v="17"/>
    <n v="162.96"/>
    <s v="Store A"/>
    <s v="Wholesale"/>
    <n v="0.05"/>
    <s v="Eva"/>
    <n v="2631.8040000000001"/>
    <s v="Gift Card"/>
    <s v="FREESHIP"/>
    <n v="0"/>
    <s v="REG100015"/>
    <s v="Cust 7037"/>
    <n v="8.11"/>
    <d v="2025-05-11T00:00:00"/>
    <d v="2025-05-17T00:00:00"/>
    <s v="Wendy"/>
    <x v="2"/>
  </r>
  <r>
    <d v="2023-02-26T00:00:00"/>
    <x v="4"/>
    <x v="0"/>
    <n v="19"/>
    <n v="236.11"/>
    <s v="Store D"/>
    <s v="Wholesale"/>
    <n v="0"/>
    <s v="Bob"/>
    <n v="4486.09"/>
    <s v="Online"/>
    <s v="WINTER15"/>
    <n v="0"/>
    <s v="REG100016"/>
    <s v="Cust 4975"/>
    <n v="34.11"/>
    <d v="2023-02-26T00:00:00"/>
    <d v="2023-03-04T00:00:00"/>
    <s v="Wendy"/>
    <x v="0"/>
  </r>
  <r>
    <d v="2024-05-28T00:00:00"/>
    <x v="3"/>
    <x v="2"/>
    <n v="11"/>
    <n v="573.14"/>
    <s v="Store D"/>
    <s v="Retail"/>
    <n v="0.05"/>
    <s v="Diana"/>
    <n v="5989.3130000000001"/>
    <s v="Cash"/>
    <s v="SAVE10"/>
    <n v="0"/>
    <s v="REG100017"/>
    <s v="Cust 8014"/>
    <n v="34.71"/>
    <d v="2024-05-28T00:00:00"/>
    <d v="2024-06-01T00:00:00"/>
    <s v="Cameron"/>
    <x v="2"/>
  </r>
  <r>
    <d v="2023-11-30T00:00:00"/>
    <x v="0"/>
    <x v="1"/>
    <n v="20"/>
    <n v="519.04"/>
    <s v="Store B"/>
    <s v="Retail"/>
    <n v="0.15"/>
    <s v="Carlos"/>
    <n v="8823.6799999999985"/>
    <s v="Gift Card"/>
    <s v="FREESHIP"/>
    <n v="0"/>
    <s v="REG100018"/>
    <s v="Cust 1228"/>
    <n v="19.43"/>
    <d v="2023-11-30T00:00:00"/>
    <d v="2023-12-08T00:00:00"/>
    <s v="Eric"/>
    <x v="9"/>
  </r>
  <r>
    <d v="2023-06-22T00:00:00"/>
    <x v="4"/>
    <x v="2"/>
    <n v="14"/>
    <n v="30.83"/>
    <s v="Store B"/>
    <s v="Retail"/>
    <n v="0"/>
    <s v="Carlos"/>
    <n v="431.62"/>
    <s v="Online"/>
    <s v="WINTER15"/>
    <n v="1"/>
    <s v="REG100019"/>
    <s v="Cust 4247"/>
    <n v="7.1"/>
    <d v="2023-06-22T00:00:00"/>
    <d v="2023-07-02T00:00:00"/>
    <s v="Wendy"/>
    <x v="3"/>
  </r>
  <r>
    <d v="2025-06-05T00:00:00"/>
    <x v="4"/>
    <x v="1"/>
    <n v="10"/>
    <n v="319.05"/>
    <s v="Store D"/>
    <s v="Wholesale"/>
    <n v="0"/>
    <s v="Diana"/>
    <n v="3190.5"/>
    <s v="Online"/>
    <m/>
    <n v="0"/>
    <s v="REG100020"/>
    <s v="Cust 4199"/>
    <n v="28.43"/>
    <d v="2025-06-05T00:00:00"/>
    <d v="2025-06-08T00:00:00"/>
    <s v="Wendy"/>
    <x v="3"/>
  </r>
  <r>
    <d v="2023-03-03T00:00:00"/>
    <x v="3"/>
    <x v="3"/>
    <n v="14"/>
    <n v="312.79000000000002"/>
    <s v="Store A"/>
    <s v="Retail"/>
    <n v="0.05"/>
    <s v="Bob"/>
    <n v="4160.107"/>
    <s v="Online"/>
    <m/>
    <n v="1"/>
    <s v="REG100021"/>
    <s v="Cust 4186"/>
    <n v="46.83"/>
    <d v="2023-03-03T00:00:00"/>
    <d v="2023-03-08T00:00:00"/>
    <s v="Cameron"/>
    <x v="6"/>
  </r>
  <r>
    <d v="2024-02-18T00:00:00"/>
    <x v="2"/>
    <x v="0"/>
    <n v="14"/>
    <n v="395.45"/>
    <s v="Store C"/>
    <s v="Retail"/>
    <n v="0"/>
    <s v="Carlos"/>
    <n v="5536.3"/>
    <s v="Cash"/>
    <s v="FREESHIP"/>
    <n v="1"/>
    <s v="REG100022"/>
    <s v="Cust 8137"/>
    <n v="36.450000000000003"/>
    <d v="2024-02-18T00:00:00"/>
    <d v="2024-02-22T00:00:00"/>
    <s v="Ryan"/>
    <x v="0"/>
  </r>
  <r>
    <d v="2023-08-06T00:00:00"/>
    <x v="3"/>
    <x v="0"/>
    <n v="12"/>
    <n v="472.72"/>
    <s v="Store D"/>
    <s v="Retail"/>
    <n v="0.15"/>
    <s v="Diana"/>
    <n v="4821.7440000000006"/>
    <s v="Credit Card"/>
    <m/>
    <n v="0"/>
    <s v="REG100023"/>
    <s v="Cust 4638"/>
    <n v="27.97"/>
    <d v="2023-08-06T00:00:00"/>
    <d v="2023-08-14T00:00:00"/>
    <s v="Cameron"/>
    <x v="10"/>
  </r>
  <r>
    <d v="2024-05-23T00:00:00"/>
    <x v="2"/>
    <x v="2"/>
    <n v="5"/>
    <n v="288.01"/>
    <s v="Store A"/>
    <s v="Wholesale"/>
    <n v="0"/>
    <s v="Eva"/>
    <n v="1440.05"/>
    <s v="Credit Card"/>
    <s v="FREESHIP"/>
    <n v="0"/>
    <s v="REG100024"/>
    <s v="Cust 8538"/>
    <n v="46.69"/>
    <d v="2024-05-23T00:00:00"/>
    <d v="2024-05-30T00:00:00"/>
    <s v="Ryan"/>
    <x v="2"/>
  </r>
  <r>
    <d v="2023-10-23T00:00:00"/>
    <x v="0"/>
    <x v="1"/>
    <n v="13"/>
    <n v="562.29"/>
    <s v="Store D"/>
    <s v="Retail"/>
    <n v="0"/>
    <s v="Diana"/>
    <n v="7309.77"/>
    <s v="Gift Card"/>
    <s v="SAVE10"/>
    <n v="0"/>
    <s v="REG100025"/>
    <s v="Cust 6322"/>
    <n v="38.130000000000003"/>
    <d v="2023-10-23T00:00:00"/>
    <d v="2023-10-28T00:00:00"/>
    <s v="Eric"/>
    <x v="5"/>
  </r>
  <r>
    <d v="2025-06-16T00:00:00"/>
    <x v="4"/>
    <x v="1"/>
    <n v="1"/>
    <n v="101.73"/>
    <s v="Store D"/>
    <s v="Retail"/>
    <n v="0"/>
    <s v="Frank"/>
    <n v="101.73"/>
    <s v="Debit Card"/>
    <s v="WINTER15"/>
    <n v="0"/>
    <s v="REG100026"/>
    <s v="Cust 2609"/>
    <n v="11.59"/>
    <d v="2025-06-16T00:00:00"/>
    <d v="2025-06-25T00:00:00"/>
    <s v="Wendy"/>
    <x v="3"/>
  </r>
  <r>
    <d v="2023-03-03T00:00:00"/>
    <x v="2"/>
    <x v="1"/>
    <n v="4"/>
    <n v="279.49"/>
    <s v="Store B"/>
    <s v="Retail"/>
    <n v="0"/>
    <s v="Diana"/>
    <n v="1117.96"/>
    <s v="Credit Card"/>
    <s v="FREESHIP"/>
    <n v="0"/>
    <s v="REG100027"/>
    <s v="Cust 6880"/>
    <n v="24.78"/>
    <d v="2023-03-03T00:00:00"/>
    <d v="2023-03-08T00:00:00"/>
    <s v="Ryan"/>
    <x v="6"/>
  </r>
  <r>
    <d v="2024-11-18T00:00:00"/>
    <x v="1"/>
    <x v="0"/>
    <n v="1"/>
    <n v="178.55"/>
    <s v="Store A"/>
    <s v="Retail"/>
    <n v="0.15"/>
    <s v="Carlos"/>
    <n v="151.76750000000001"/>
    <s v="Debit Card"/>
    <s v="SAVE10"/>
    <n v="1"/>
    <s v="REG100028"/>
    <s v="Cust 1997"/>
    <n v="7.61"/>
    <d v="2024-11-18T00:00:00"/>
    <d v="2024-11-21T00:00:00"/>
    <s v="Sophie"/>
    <x v="9"/>
  </r>
  <r>
    <d v="2023-05-09T00:00:00"/>
    <x v="3"/>
    <x v="5"/>
    <n v="1"/>
    <n v="472.07"/>
    <s v="Store A"/>
    <s v="Wholesale"/>
    <n v="0.1"/>
    <s v="Carlos"/>
    <n v="424.863"/>
    <s v="Online"/>
    <s v="FREESHIP"/>
    <n v="0"/>
    <s v="REG100029"/>
    <s v="Cust 7072"/>
    <n v="33.17"/>
    <d v="2023-05-09T00:00:00"/>
    <d v="2023-05-17T00:00:00"/>
    <s v="Cameron"/>
    <x v="2"/>
  </r>
  <r>
    <d v="2024-12-07T00:00:00"/>
    <x v="2"/>
    <x v="5"/>
    <n v="12"/>
    <n v="306.29000000000002"/>
    <s v="Store D"/>
    <s v="Retail"/>
    <n v="0"/>
    <s v="Frank"/>
    <n v="3675.48"/>
    <s v="Debit Card"/>
    <s v="SAVE10"/>
    <n v="0"/>
    <s v="REG100030"/>
    <s v="Cust 7201"/>
    <n v="37.380000000000003"/>
    <d v="2024-12-07T00:00:00"/>
    <d v="2024-12-14T00:00:00"/>
    <s v="Ryan"/>
    <x v="1"/>
  </r>
  <r>
    <d v="2024-02-13T00:00:00"/>
    <x v="2"/>
    <x v="1"/>
    <n v="7"/>
    <n v="434.77"/>
    <s v="Store C"/>
    <s v="Retail"/>
    <n v="0.15"/>
    <s v="Frank"/>
    <n v="2586.8815"/>
    <s v="Online"/>
    <s v="SAVE10"/>
    <n v="0"/>
    <s v="REG100031"/>
    <s v="Cust 9923"/>
    <n v="12.35"/>
    <d v="2024-02-13T00:00:00"/>
    <d v="2024-02-15T00:00:00"/>
    <s v="Ryan"/>
    <x v="0"/>
  </r>
  <r>
    <d v="2025-03-09T00:00:00"/>
    <x v="1"/>
    <x v="2"/>
    <n v="6"/>
    <n v="64.98"/>
    <s v="Store C"/>
    <s v="Retail"/>
    <n v="0"/>
    <s v="Carlos"/>
    <n v="389.88"/>
    <s v="Debit Card"/>
    <s v="WINTER15"/>
    <n v="0"/>
    <s v="REG100032"/>
    <s v="Cust 2205"/>
    <n v="21.25"/>
    <d v="2025-03-09T00:00:00"/>
    <d v="2025-03-15T00:00:00"/>
    <s v="Sophie"/>
    <x v="6"/>
  </r>
  <r>
    <d v="2023-04-05T00:00:00"/>
    <x v="3"/>
    <x v="2"/>
    <n v="17"/>
    <n v="476.49"/>
    <s v="Store D"/>
    <s v="Retail"/>
    <n v="0"/>
    <s v="Alice"/>
    <n v="8100.33"/>
    <s v="Gift Card"/>
    <m/>
    <n v="0"/>
    <s v="REG100033"/>
    <s v="Cust 6403"/>
    <n v="17.91"/>
    <d v="2023-04-05T00:00:00"/>
    <d v="2023-04-11T00:00:00"/>
    <s v="Cameron"/>
    <x v="7"/>
  </r>
  <r>
    <d v="2025-05-08T00:00:00"/>
    <x v="2"/>
    <x v="4"/>
    <n v="4"/>
    <n v="559.72"/>
    <s v="Store D"/>
    <s v="Retail"/>
    <n v="0.15"/>
    <s v="Diana"/>
    <n v="1903.048"/>
    <s v="Online"/>
    <s v="SAVE10"/>
    <n v="0"/>
    <s v="REG100034"/>
    <s v="Cust 3953"/>
    <n v="41.91"/>
    <d v="2025-05-08T00:00:00"/>
    <d v="2025-05-12T00:00:00"/>
    <s v="Ryan"/>
    <x v="2"/>
  </r>
  <r>
    <d v="2023-09-03T00:00:00"/>
    <x v="2"/>
    <x v="5"/>
    <n v="14"/>
    <n v="82.14"/>
    <s v="Store C"/>
    <s v="Retail"/>
    <n v="0"/>
    <s v="Alice"/>
    <n v="1149.96"/>
    <s v="Credit Card"/>
    <m/>
    <n v="0"/>
    <s v="REG100035"/>
    <s v="Cust 7902"/>
    <n v="12.57"/>
    <d v="2023-09-03T00:00:00"/>
    <d v="2023-09-11T00:00:00"/>
    <s v="Ryan"/>
    <x v="11"/>
  </r>
  <r>
    <d v="2025-03-21T00:00:00"/>
    <x v="3"/>
    <x v="3"/>
    <n v="9"/>
    <n v="343.21"/>
    <s v="Store A"/>
    <s v="Retail"/>
    <n v="0.05"/>
    <s v="Carlos"/>
    <n v="2934.4454999999998"/>
    <s v="Debit Card"/>
    <s v="FREESHIP"/>
    <n v="0"/>
    <s v="REG100036"/>
    <s v="Cust 9968"/>
    <n v="40.29"/>
    <d v="2025-03-21T00:00:00"/>
    <d v="2025-03-28T00:00:00"/>
    <s v="Cameron"/>
    <x v="6"/>
  </r>
  <r>
    <d v="2025-06-20T00:00:00"/>
    <x v="1"/>
    <x v="3"/>
    <n v="7"/>
    <n v="301.01"/>
    <s v="Store B"/>
    <s v="Retail"/>
    <n v="0.15"/>
    <s v="Diana"/>
    <n v="1791.0094999999999"/>
    <s v="Cash"/>
    <s v="SAVE10"/>
    <n v="1"/>
    <s v="REG100037"/>
    <s v="Cust 3787"/>
    <n v="34.97"/>
    <d v="2025-06-20T00:00:00"/>
    <d v="2025-06-30T00:00:00"/>
    <s v="Sophie"/>
    <x v="3"/>
  </r>
  <r>
    <d v="2024-02-15T00:00:00"/>
    <x v="3"/>
    <x v="6"/>
    <n v="14"/>
    <n v="428.13"/>
    <s v="Store C"/>
    <s v="Retail"/>
    <n v="0.1"/>
    <s v="Bob"/>
    <n v="5394.4380000000001"/>
    <s v="Cash"/>
    <m/>
    <n v="1"/>
    <s v="REG100038"/>
    <s v="Cust 2469"/>
    <n v="24.77"/>
    <d v="2024-02-15T00:00:00"/>
    <d v="2024-02-25T00:00:00"/>
    <s v="Cameron"/>
    <x v="0"/>
  </r>
  <r>
    <d v="2023-06-09T00:00:00"/>
    <x v="3"/>
    <x v="0"/>
    <n v="2"/>
    <n v="503.28"/>
    <s v="Store D"/>
    <s v="Retail"/>
    <n v="0.15"/>
    <s v="Alice"/>
    <n v="855.57599999999991"/>
    <s v="Gift Card"/>
    <m/>
    <n v="0"/>
    <s v="REG100039"/>
    <s v="Cust 6468"/>
    <n v="34.79"/>
    <d v="2023-06-09T00:00:00"/>
    <d v="2023-06-17T00:00:00"/>
    <s v="Cameron"/>
    <x v="3"/>
  </r>
  <r>
    <d v="2023-08-10T00:00:00"/>
    <x v="1"/>
    <x v="6"/>
    <n v="5"/>
    <n v="470.32"/>
    <s v="Store A"/>
    <s v="Retail"/>
    <n v="0.1"/>
    <s v="Eva"/>
    <n v="2116.44"/>
    <s v="Debit Card"/>
    <s v="SAVE10"/>
    <n v="0"/>
    <s v="REG100040"/>
    <s v="Cust 5312"/>
    <n v="17.77"/>
    <d v="2023-08-10T00:00:00"/>
    <d v="2023-08-14T00:00:00"/>
    <s v="Sophie"/>
    <x v="10"/>
  </r>
  <r>
    <d v="2024-06-16T00:00:00"/>
    <x v="3"/>
    <x v="6"/>
    <n v="20"/>
    <n v="65.17"/>
    <s v="Store C"/>
    <s v="Wholesale"/>
    <n v="0.05"/>
    <s v="Eva"/>
    <n v="1238.23"/>
    <s v="Gift Card"/>
    <s v="FREESHIP"/>
    <n v="0"/>
    <s v="REG100041"/>
    <s v="Cust 1482"/>
    <n v="21.72"/>
    <d v="2024-06-16T00:00:00"/>
    <d v="2024-06-25T00:00:00"/>
    <s v="Cameron"/>
    <x v="3"/>
  </r>
  <r>
    <d v="2023-07-23T00:00:00"/>
    <x v="1"/>
    <x v="0"/>
    <n v="12"/>
    <n v="36.17"/>
    <s v="Store A"/>
    <s v="Retail"/>
    <n v="0"/>
    <s v="Eva"/>
    <n v="434.04"/>
    <s v="Online"/>
    <s v="WINTER15"/>
    <n v="0"/>
    <s v="REG100042"/>
    <s v="Cust 7903"/>
    <n v="34.85"/>
    <d v="2023-07-23T00:00:00"/>
    <d v="2023-07-26T00:00:00"/>
    <s v="Sophie"/>
    <x v="8"/>
  </r>
  <r>
    <d v="2023-05-20T00:00:00"/>
    <x v="3"/>
    <x v="6"/>
    <n v="4"/>
    <n v="459.31"/>
    <s v="Store D"/>
    <s v="Wholesale"/>
    <n v="0.15"/>
    <s v="Carlos"/>
    <n v="1561.654"/>
    <s v="Gift Card"/>
    <s v="WINTER15"/>
    <n v="1"/>
    <s v="REG100043"/>
    <s v="Cust 9605"/>
    <n v="27.39"/>
    <d v="2023-05-20T00:00:00"/>
    <d v="2023-05-27T00:00:00"/>
    <s v="Cameron"/>
    <x v="2"/>
  </r>
  <r>
    <d v="2023-06-30T00:00:00"/>
    <x v="1"/>
    <x v="0"/>
    <n v="2"/>
    <n v="416.06"/>
    <s v="Store D"/>
    <s v="Retail"/>
    <n v="0.05"/>
    <s v="Eva"/>
    <n v="790.51400000000001"/>
    <s v="Debit Card"/>
    <s v="SAVE10"/>
    <n v="0"/>
    <s v="REG100044"/>
    <s v="Cust 3298"/>
    <n v="11.62"/>
    <d v="2023-06-30T00:00:00"/>
    <d v="2023-07-04T00:00:00"/>
    <s v="Sophie"/>
    <x v="3"/>
  </r>
  <r>
    <d v="2024-06-04T00:00:00"/>
    <x v="1"/>
    <x v="5"/>
    <n v="16"/>
    <n v="302.58"/>
    <s v="Store D"/>
    <s v="Retail"/>
    <n v="0"/>
    <s v="Alice"/>
    <n v="4841.28"/>
    <s v="Online"/>
    <s v="WINTER15"/>
    <n v="1"/>
    <s v="REG100045"/>
    <s v="Cust 5533"/>
    <n v="20.76"/>
    <d v="2024-06-04T00:00:00"/>
    <d v="2024-06-14T00:00:00"/>
    <s v="Sophie"/>
    <x v="3"/>
  </r>
  <r>
    <d v="2025-02-03T00:00:00"/>
    <x v="4"/>
    <x v="3"/>
    <n v="11"/>
    <n v="33.130000000000003"/>
    <s v="Store A"/>
    <s v="Retail"/>
    <n v="0.15"/>
    <s v="Frank"/>
    <n v="309.76549999999997"/>
    <s v="Online"/>
    <s v="FREESHIP"/>
    <n v="0"/>
    <s v="REG100046"/>
    <s v="Cust 6362"/>
    <n v="24.95"/>
    <d v="2025-02-03T00:00:00"/>
    <d v="2025-02-05T00:00:00"/>
    <s v="Wendy"/>
    <x v="0"/>
  </r>
  <r>
    <d v="2024-01-09T00:00:00"/>
    <x v="0"/>
    <x v="5"/>
    <n v="8"/>
    <n v="582.52"/>
    <s v="Store D"/>
    <s v="Retail"/>
    <n v="0.15"/>
    <s v="Frank"/>
    <n v="3961.136"/>
    <s v="Gift Card"/>
    <s v="WINTER15"/>
    <n v="0"/>
    <s v="REG100047"/>
    <s v="Cust 4826"/>
    <n v="6.47"/>
    <d v="2024-01-09T00:00:00"/>
    <d v="2024-01-13T00:00:00"/>
    <s v="Eric"/>
    <x v="4"/>
  </r>
  <r>
    <d v="2024-03-14T00:00:00"/>
    <x v="2"/>
    <x v="2"/>
    <n v="5"/>
    <n v="165.15"/>
    <s v="Store A"/>
    <s v="Retail"/>
    <n v="0.1"/>
    <s v="Eva"/>
    <n v="743.17500000000007"/>
    <s v="Gift Card"/>
    <m/>
    <n v="0"/>
    <s v="REG100048"/>
    <s v="Cust 2171"/>
    <n v="20.57"/>
    <d v="2024-03-14T00:00:00"/>
    <d v="2024-03-16T00:00:00"/>
    <s v="Ryan"/>
    <x v="6"/>
  </r>
  <r>
    <d v="2024-09-06T00:00:00"/>
    <x v="4"/>
    <x v="4"/>
    <n v="14"/>
    <n v="242.82"/>
    <s v="Store D"/>
    <s v="Wholesale"/>
    <n v="0.15"/>
    <s v="Alice"/>
    <n v="2889.558"/>
    <s v="Cash"/>
    <s v="WINTER15"/>
    <n v="1"/>
    <s v="REG100049"/>
    <s v="Cust 4005"/>
    <n v="20.71"/>
    <d v="2024-09-06T00:00:00"/>
    <d v="2024-09-13T00:00:00"/>
    <s v="Wendy"/>
    <x v="11"/>
  </r>
  <r>
    <d v="2023-03-17T00:00:00"/>
    <x v="0"/>
    <x v="4"/>
    <n v="13"/>
    <n v="65.989999999999995"/>
    <s v="Store A"/>
    <s v="Wholesale"/>
    <n v="0.1"/>
    <s v="Frank"/>
    <n v="772.08299999999997"/>
    <s v="Cash"/>
    <s v="WINTER15"/>
    <n v="0"/>
    <s v="REG100050"/>
    <s v="Cust 7032"/>
    <n v="12.87"/>
    <d v="2023-03-17T00:00:00"/>
    <d v="2023-03-20T00:00:00"/>
    <s v="Eric"/>
    <x v="6"/>
  </r>
  <r>
    <d v="2025-01-17T00:00:00"/>
    <x v="4"/>
    <x v="3"/>
    <n v="2"/>
    <n v="251.69"/>
    <s v="Store C"/>
    <s v="Wholesale"/>
    <n v="0"/>
    <s v="Alice"/>
    <n v="503.38"/>
    <s v="Debit Card"/>
    <s v="FREESHIP"/>
    <n v="0"/>
    <s v="REG100051"/>
    <s v="Cust 7167"/>
    <n v="42.49"/>
    <d v="2025-01-17T00:00:00"/>
    <d v="2025-01-24T00:00:00"/>
    <s v="Wendy"/>
    <x v="4"/>
  </r>
  <r>
    <d v="2024-09-12T00:00:00"/>
    <x v="1"/>
    <x v="0"/>
    <n v="1"/>
    <n v="269.41000000000003"/>
    <s v="Store B"/>
    <s v="Wholesale"/>
    <n v="0.1"/>
    <s v="Eva"/>
    <n v="242.46899999999999"/>
    <s v="Cash"/>
    <s v="WINTER15"/>
    <n v="1"/>
    <s v="REG100052"/>
    <s v="Cust 5702"/>
    <n v="19.22"/>
    <d v="2024-09-12T00:00:00"/>
    <d v="2024-09-18T00:00:00"/>
    <s v="Sophie"/>
    <x v="11"/>
  </r>
  <r>
    <d v="2024-01-05T00:00:00"/>
    <x v="1"/>
    <x v="4"/>
    <n v="2"/>
    <n v="371.3"/>
    <s v="Store B"/>
    <s v="Wholesale"/>
    <n v="0.05"/>
    <s v="Bob"/>
    <n v="705.47"/>
    <s v="Credit Card"/>
    <s v="SAVE10"/>
    <n v="0"/>
    <s v="REG100053"/>
    <s v="Cust 4944"/>
    <n v="36.51"/>
    <d v="2024-01-05T00:00:00"/>
    <d v="2024-01-15T00:00:00"/>
    <s v="Sophie"/>
    <x v="4"/>
  </r>
  <r>
    <d v="2024-04-19T00:00:00"/>
    <x v="4"/>
    <x v="5"/>
    <n v="11"/>
    <n v="288.24"/>
    <s v="Store A"/>
    <s v="Wholesale"/>
    <n v="0.15"/>
    <s v="Diana"/>
    <n v="2695.0439999999999"/>
    <s v="Online"/>
    <m/>
    <n v="0"/>
    <s v="REG100054"/>
    <s v="Cust 8149"/>
    <n v="37.39"/>
    <d v="2024-04-19T00:00:00"/>
    <d v="2024-04-25T00:00:00"/>
    <s v="Wendy"/>
    <x v="7"/>
  </r>
  <r>
    <d v="2025-06-11T00:00:00"/>
    <x v="3"/>
    <x v="5"/>
    <n v="11"/>
    <n v="232.75"/>
    <s v="Store D"/>
    <s v="Wholesale"/>
    <n v="0.05"/>
    <s v="Eva"/>
    <n v="2432.2375000000002"/>
    <s v="Credit Card"/>
    <s v="SAVE10"/>
    <n v="0"/>
    <s v="REG100055"/>
    <s v="Cust 3638"/>
    <n v="36.33"/>
    <d v="2025-06-11T00:00:00"/>
    <d v="2025-06-21T00:00:00"/>
    <s v="Cameron"/>
    <x v="3"/>
  </r>
  <r>
    <d v="2025-03-06T00:00:00"/>
    <x v="0"/>
    <x v="1"/>
    <n v="17"/>
    <n v="146.28"/>
    <s v="Store B"/>
    <s v="Retail"/>
    <n v="0.15"/>
    <s v="Carlos"/>
    <n v="2113.7460000000001"/>
    <s v="Cash"/>
    <s v="SAVE10"/>
    <n v="0"/>
    <s v="REG100056"/>
    <s v="Cust 9973"/>
    <n v="7.84"/>
    <d v="2025-03-06T00:00:00"/>
    <d v="2025-03-15T00:00:00"/>
    <s v="Eric"/>
    <x v="6"/>
  </r>
  <r>
    <d v="2023-05-24T00:00:00"/>
    <x v="0"/>
    <x v="3"/>
    <n v="5"/>
    <n v="100.38"/>
    <s v="Store C"/>
    <s v="Retail"/>
    <n v="0.1"/>
    <s v="Eva"/>
    <n v="451.71"/>
    <s v="Gift Card"/>
    <s v="WINTER15"/>
    <n v="1"/>
    <s v="REG100057"/>
    <s v="Cust 4214"/>
    <n v="18.350000000000001"/>
    <d v="2023-05-24T00:00:00"/>
    <d v="2023-05-26T00:00:00"/>
    <s v="Eric"/>
    <x v="2"/>
  </r>
  <r>
    <d v="2023-01-27T00:00:00"/>
    <x v="1"/>
    <x v="1"/>
    <n v="11"/>
    <n v="375.48"/>
    <s v="Store B"/>
    <s v="Retail"/>
    <n v="0.05"/>
    <s v="Bob"/>
    <n v="3923.766000000001"/>
    <s v="Debit Card"/>
    <s v="WINTER15"/>
    <n v="0"/>
    <s v="REG100058"/>
    <s v="Cust 2647"/>
    <n v="15.95"/>
    <d v="2023-01-27T00:00:00"/>
    <d v="2023-02-03T00:00:00"/>
    <s v="Sophie"/>
    <x v="4"/>
  </r>
  <r>
    <d v="2024-03-21T00:00:00"/>
    <x v="1"/>
    <x v="0"/>
    <n v="18"/>
    <n v="316.89"/>
    <s v="Store B"/>
    <s v="Wholesale"/>
    <n v="0.05"/>
    <s v="Bob"/>
    <n v="5418.8190000000004"/>
    <s v="Cash"/>
    <s v="FREESHIP"/>
    <n v="0"/>
    <s v="REG100059"/>
    <s v="Cust 3552"/>
    <n v="15.69"/>
    <d v="2024-03-21T00:00:00"/>
    <d v="2024-03-27T00:00:00"/>
    <s v="Sophie"/>
    <x v="6"/>
  </r>
  <r>
    <d v="2025-01-25T00:00:00"/>
    <x v="4"/>
    <x v="0"/>
    <n v="20"/>
    <n v="295.06"/>
    <s v="Store D"/>
    <s v="Retail"/>
    <n v="0.15"/>
    <s v="Frank"/>
    <n v="5016.0200000000004"/>
    <s v="Online"/>
    <s v="SAVE10"/>
    <n v="1"/>
    <s v="REG100060"/>
    <s v="Cust 3354"/>
    <n v="13.66"/>
    <d v="2025-01-25T00:00:00"/>
    <d v="2025-01-31T00:00:00"/>
    <s v="Wendy"/>
    <x v="4"/>
  </r>
  <r>
    <d v="2023-06-12T00:00:00"/>
    <x v="3"/>
    <x v="1"/>
    <n v="8"/>
    <n v="301.68"/>
    <s v="Store D"/>
    <s v="Retail"/>
    <n v="0"/>
    <s v="Eva"/>
    <n v="2413.44"/>
    <s v="Cash"/>
    <s v="SAVE10"/>
    <n v="0"/>
    <s v="REG100061"/>
    <s v="Cust 3903"/>
    <n v="36.54"/>
    <d v="2023-06-12T00:00:00"/>
    <d v="2023-06-21T00:00:00"/>
    <s v="Cameron"/>
    <x v="3"/>
  </r>
  <r>
    <d v="2025-03-22T00:00:00"/>
    <x v="3"/>
    <x v="3"/>
    <n v="3"/>
    <n v="475.39"/>
    <s v="Store B"/>
    <s v="Retail"/>
    <n v="0.1"/>
    <s v="Alice"/>
    <n v="1283.5530000000001"/>
    <s v="Gift Card"/>
    <m/>
    <n v="0"/>
    <s v="REG100062"/>
    <s v="Cust 5358"/>
    <n v="15.62"/>
    <d v="2025-03-22T00:00:00"/>
    <d v="2025-03-26T00:00:00"/>
    <s v="Cameron"/>
    <x v="6"/>
  </r>
  <r>
    <d v="2024-02-24T00:00:00"/>
    <x v="3"/>
    <x v="2"/>
    <n v="16"/>
    <n v="47.25"/>
    <s v="Store D"/>
    <s v="Retail"/>
    <n v="0.15"/>
    <s v="Bob"/>
    <n v="642.6"/>
    <s v="Debit Card"/>
    <s v="FREESHIP"/>
    <n v="0"/>
    <s v="REG100063"/>
    <s v="Cust 8144"/>
    <n v="29.5"/>
    <d v="2024-02-24T00:00:00"/>
    <d v="2024-02-27T00:00:00"/>
    <s v="Cameron"/>
    <x v="0"/>
  </r>
  <r>
    <d v="2023-12-09T00:00:00"/>
    <x v="1"/>
    <x v="3"/>
    <n v="15"/>
    <n v="511.17"/>
    <s v="Store B"/>
    <s v="Wholesale"/>
    <n v="0"/>
    <s v="Frank"/>
    <n v="7667.55"/>
    <s v="Online"/>
    <s v="FREESHIP"/>
    <n v="0"/>
    <s v="REG100064"/>
    <s v="Cust 6747"/>
    <n v="21.77"/>
    <d v="2023-12-09T00:00:00"/>
    <d v="2023-12-12T00:00:00"/>
    <s v="Sophie"/>
    <x v="1"/>
  </r>
  <r>
    <d v="2023-10-01T00:00:00"/>
    <x v="3"/>
    <x v="4"/>
    <n v="3"/>
    <n v="66.58"/>
    <s v="Store B"/>
    <s v="Retail"/>
    <n v="0.1"/>
    <s v="Frank"/>
    <n v="179.76599999999999"/>
    <s v="Debit Card"/>
    <s v="FREESHIP"/>
    <n v="0"/>
    <s v="REG100065"/>
    <s v="Cust 8330"/>
    <n v="22.43"/>
    <d v="2023-10-01T00:00:00"/>
    <d v="2023-10-05T00:00:00"/>
    <s v="Cameron"/>
    <x v="5"/>
  </r>
  <r>
    <d v="2023-07-31T00:00:00"/>
    <x v="4"/>
    <x v="5"/>
    <n v="5"/>
    <n v="490.52"/>
    <s v="Store D"/>
    <s v="Wholesale"/>
    <n v="0.05"/>
    <s v="Frank"/>
    <n v="2329.9699999999998"/>
    <s v="Online"/>
    <m/>
    <n v="0"/>
    <s v="REG100066"/>
    <s v="Cust 7186"/>
    <n v="12.24"/>
    <d v="2023-07-31T00:00:00"/>
    <d v="2023-08-07T00:00:00"/>
    <s v="Wendy"/>
    <x v="8"/>
  </r>
  <r>
    <d v="2024-12-24T00:00:00"/>
    <x v="1"/>
    <x v="3"/>
    <n v="8"/>
    <n v="405.96"/>
    <s v="Store A"/>
    <s v="Wholesale"/>
    <n v="0.05"/>
    <s v="Carlos"/>
    <n v="3085.2959999999998"/>
    <s v="Credit Card"/>
    <s v="WINTER15"/>
    <n v="0"/>
    <s v="REG100067"/>
    <s v="Cust 8287"/>
    <n v="41.27"/>
    <d v="2024-12-24T00:00:00"/>
    <d v="2024-12-31T00:00:00"/>
    <s v="Sophie"/>
    <x v="1"/>
  </r>
  <r>
    <d v="2024-11-15T00:00:00"/>
    <x v="2"/>
    <x v="1"/>
    <n v="1"/>
    <n v="159.41"/>
    <s v="Store B"/>
    <s v="Retail"/>
    <n v="0.1"/>
    <s v="Bob"/>
    <n v="143.46899999999999"/>
    <s v="Credit Card"/>
    <s v="FREESHIP"/>
    <n v="0"/>
    <s v="REG100068"/>
    <s v="Cust 3986"/>
    <n v="35.14"/>
    <d v="2024-11-15T00:00:00"/>
    <d v="2024-11-19T00:00:00"/>
    <s v="Ryan"/>
    <x v="9"/>
  </r>
  <r>
    <d v="2025-03-13T00:00:00"/>
    <x v="4"/>
    <x v="4"/>
    <n v="16"/>
    <n v="38.49"/>
    <s v="Store C"/>
    <s v="Retail"/>
    <n v="0.15"/>
    <s v="Carlos"/>
    <n v="523.46400000000006"/>
    <s v="Debit Card"/>
    <s v="SAVE10"/>
    <n v="0"/>
    <s v="REG100069"/>
    <s v="Cust 3213"/>
    <n v="8.3800000000000008"/>
    <d v="2025-03-13T00:00:00"/>
    <d v="2025-03-22T00:00:00"/>
    <s v="Wendy"/>
    <x v="6"/>
  </r>
  <r>
    <d v="2024-03-03T00:00:00"/>
    <x v="0"/>
    <x v="5"/>
    <n v="15"/>
    <n v="328.36"/>
    <s v="Store D"/>
    <s v="Retail"/>
    <n v="0.15"/>
    <s v="Alice"/>
    <n v="4186.59"/>
    <s v="Gift Card"/>
    <s v="WINTER15"/>
    <n v="0"/>
    <s v="REG100070"/>
    <s v="Cust 1907"/>
    <n v="15.76"/>
    <d v="2024-03-03T00:00:00"/>
    <d v="2024-03-12T00:00:00"/>
    <s v="Eric"/>
    <x v="6"/>
  </r>
  <r>
    <d v="2023-02-11T00:00:00"/>
    <x v="3"/>
    <x v="5"/>
    <n v="20"/>
    <n v="548.01"/>
    <s v="Store A"/>
    <s v="Wholesale"/>
    <n v="0.1"/>
    <s v="Eva"/>
    <n v="9864.18"/>
    <s v="Credit Card"/>
    <s v="WINTER15"/>
    <n v="1"/>
    <s v="REG100071"/>
    <s v="Cust 4639"/>
    <n v="5.89"/>
    <d v="2023-02-11T00:00:00"/>
    <d v="2023-02-14T00:00:00"/>
    <s v="Cameron"/>
    <x v="0"/>
  </r>
  <r>
    <d v="2023-10-26T00:00:00"/>
    <x v="1"/>
    <x v="2"/>
    <n v="13"/>
    <n v="484.45"/>
    <s v="Store B"/>
    <s v="Wholesale"/>
    <n v="0.05"/>
    <s v="Carlos"/>
    <n v="5982.9575000000004"/>
    <s v="Gift Card"/>
    <s v="WINTER15"/>
    <n v="1"/>
    <s v="REG100072"/>
    <s v="Cust 4153"/>
    <n v="6.57"/>
    <d v="2023-10-26T00:00:00"/>
    <d v="2023-11-05T00:00:00"/>
    <s v="Sophie"/>
    <x v="5"/>
  </r>
  <r>
    <d v="2023-10-21T00:00:00"/>
    <x v="1"/>
    <x v="4"/>
    <n v="13"/>
    <n v="195.84"/>
    <s v="Store A"/>
    <s v="Wholesale"/>
    <n v="0.05"/>
    <s v="Alice"/>
    <n v="2418.6239999999998"/>
    <s v="Credit Card"/>
    <m/>
    <n v="0"/>
    <s v="REG100073"/>
    <s v="Cust 7096"/>
    <n v="33.520000000000003"/>
    <d v="2023-10-21T00:00:00"/>
    <d v="2023-10-28T00:00:00"/>
    <s v="Sophie"/>
    <x v="5"/>
  </r>
  <r>
    <d v="2024-01-14T00:00:00"/>
    <x v="3"/>
    <x v="5"/>
    <n v="19"/>
    <n v="29.94"/>
    <s v="Store D"/>
    <s v="Retail"/>
    <n v="0.15"/>
    <s v="Diana"/>
    <n v="483.53100000000001"/>
    <s v="Debit Card"/>
    <s v="FREESHIP"/>
    <n v="0"/>
    <s v="REG100074"/>
    <s v="Cust 3806"/>
    <n v="33.590000000000003"/>
    <d v="2024-01-14T00:00:00"/>
    <d v="2024-01-20T00:00:00"/>
    <s v="Cameron"/>
    <x v="4"/>
  </r>
  <r>
    <d v="2023-07-27T00:00:00"/>
    <x v="3"/>
    <x v="2"/>
    <n v="10"/>
    <n v="553.91"/>
    <s v="Store D"/>
    <s v="Wholesale"/>
    <n v="0.1"/>
    <s v="Eva"/>
    <n v="4985.1899999999996"/>
    <s v="Online"/>
    <m/>
    <n v="0"/>
    <s v="REG100075"/>
    <s v="Cust 9345"/>
    <n v="31.3"/>
    <d v="2023-07-27T00:00:00"/>
    <d v="2023-07-31T00:00:00"/>
    <s v="Cameron"/>
    <x v="8"/>
  </r>
  <r>
    <d v="2024-10-23T00:00:00"/>
    <x v="1"/>
    <x v="1"/>
    <n v="14"/>
    <n v="445.52"/>
    <s v="Store B"/>
    <s v="Retail"/>
    <n v="0.1"/>
    <s v="Bob"/>
    <n v="5613.5519999999997"/>
    <s v="Online"/>
    <s v="SAVE10"/>
    <n v="0"/>
    <s v="REG100076"/>
    <s v="Cust 4456"/>
    <n v="14.41"/>
    <d v="2024-10-23T00:00:00"/>
    <d v="2024-10-25T00:00:00"/>
    <s v="Sophie"/>
    <x v="5"/>
  </r>
  <r>
    <d v="2023-09-26T00:00:00"/>
    <x v="1"/>
    <x v="3"/>
    <n v="5"/>
    <n v="551.58000000000004"/>
    <s v="Store B"/>
    <s v="Retail"/>
    <n v="0.15"/>
    <s v="Alice"/>
    <n v="2344.2150000000001"/>
    <s v="Online"/>
    <s v="WINTER15"/>
    <n v="1"/>
    <s v="REG100077"/>
    <s v="Cust 1089"/>
    <n v="7.87"/>
    <d v="2023-09-26T00:00:00"/>
    <d v="2023-10-01T00:00:00"/>
    <s v="Sophie"/>
    <x v="11"/>
  </r>
  <r>
    <d v="2023-12-16T00:00:00"/>
    <x v="0"/>
    <x v="1"/>
    <n v="13"/>
    <n v="241.4"/>
    <s v="Store D"/>
    <s v="Retail"/>
    <n v="0"/>
    <s v="Carlos"/>
    <n v="3138.2"/>
    <s v="Gift Card"/>
    <s v="SAVE10"/>
    <n v="0"/>
    <s v="REG100078"/>
    <s v="Cust 7230"/>
    <n v="49.05"/>
    <d v="2023-12-16T00:00:00"/>
    <d v="2023-12-20T00:00:00"/>
    <s v="Eric"/>
    <x v="1"/>
  </r>
  <r>
    <d v="2024-01-02T00:00:00"/>
    <x v="3"/>
    <x v="6"/>
    <n v="19"/>
    <n v="351.93"/>
    <s v="Store A"/>
    <s v="Wholesale"/>
    <n v="0"/>
    <s v="Alice"/>
    <n v="6686.67"/>
    <s v="Credit Card"/>
    <m/>
    <n v="0"/>
    <s v="REG100079"/>
    <s v="Cust 6597"/>
    <n v="39.979999999999997"/>
    <d v="2024-01-02T00:00:00"/>
    <d v="2024-01-05T00:00:00"/>
    <s v="Cameron"/>
    <x v="4"/>
  </r>
  <r>
    <d v="2024-02-16T00:00:00"/>
    <x v="2"/>
    <x v="1"/>
    <n v="4"/>
    <n v="83.75"/>
    <s v="Store A"/>
    <s v="Retail"/>
    <n v="0.05"/>
    <s v="Alice"/>
    <n v="318.25"/>
    <s v="Debit Card"/>
    <s v="SAVE10"/>
    <n v="1"/>
    <s v="REG100080"/>
    <s v="Cust 4108"/>
    <n v="38.82"/>
    <d v="2024-02-16T00:00:00"/>
    <d v="2024-02-25T00:00:00"/>
    <s v="Ryan"/>
    <x v="0"/>
  </r>
  <r>
    <d v="2024-05-03T00:00:00"/>
    <x v="0"/>
    <x v="4"/>
    <n v="5"/>
    <n v="416.95"/>
    <s v="Store A"/>
    <s v="Wholesale"/>
    <n v="0.15"/>
    <s v="Frank"/>
    <n v="1772.0374999999999"/>
    <s v="Online"/>
    <m/>
    <n v="1"/>
    <s v="REG100081"/>
    <s v="Cust 2883"/>
    <n v="24.03"/>
    <d v="2024-05-03T00:00:00"/>
    <d v="2024-05-12T00:00:00"/>
    <s v="Eric"/>
    <x v="2"/>
  </r>
  <r>
    <d v="2023-05-27T00:00:00"/>
    <x v="4"/>
    <x v="4"/>
    <n v="18"/>
    <n v="142.43"/>
    <s v="Store C"/>
    <s v="Retail"/>
    <n v="0.05"/>
    <s v="Bob"/>
    <n v="2435.5529999999999"/>
    <s v="Credit Card"/>
    <s v="SAVE10"/>
    <n v="1"/>
    <s v="REG100082"/>
    <s v="Cust 5018"/>
    <n v="12.38"/>
    <d v="2023-05-27T00:00:00"/>
    <d v="2023-06-02T00:00:00"/>
    <s v="Wendy"/>
    <x v="2"/>
  </r>
  <r>
    <d v="2023-01-05T00:00:00"/>
    <x v="0"/>
    <x v="2"/>
    <n v="12"/>
    <n v="582.52"/>
    <s v="Store A"/>
    <s v="Wholesale"/>
    <n v="0"/>
    <s v="Bob"/>
    <n v="6990.24"/>
    <s v="Credit Card"/>
    <s v="FREESHIP"/>
    <n v="0"/>
    <s v="REG100083"/>
    <s v="Cust 1231"/>
    <n v="41.16"/>
    <d v="2023-01-05T00:00:00"/>
    <d v="2023-01-11T00:00:00"/>
    <s v="Eric"/>
    <x v="4"/>
  </r>
  <r>
    <d v="2025-05-21T00:00:00"/>
    <x v="0"/>
    <x v="3"/>
    <n v="20"/>
    <n v="129.56"/>
    <s v="Store A"/>
    <s v="Retail"/>
    <n v="0.15"/>
    <s v="Diana"/>
    <n v="2202.52"/>
    <s v="Online"/>
    <s v="WINTER15"/>
    <n v="0"/>
    <s v="REG100084"/>
    <s v="Cust 2209"/>
    <n v="40.21"/>
    <d v="2025-05-21T00:00:00"/>
    <d v="2025-05-23T00:00:00"/>
    <s v="Eric"/>
    <x v="2"/>
  </r>
  <r>
    <d v="2023-07-21T00:00:00"/>
    <x v="3"/>
    <x v="5"/>
    <n v="17"/>
    <n v="431.82"/>
    <s v="Store B"/>
    <s v="Retail"/>
    <n v="0"/>
    <s v="Eva"/>
    <n v="7340.94"/>
    <s v="Gift Card"/>
    <s v="FREESHIP"/>
    <n v="1"/>
    <s v="REG100085"/>
    <s v="Cust 6684"/>
    <n v="37.75"/>
    <d v="2023-07-21T00:00:00"/>
    <d v="2023-07-25T00:00:00"/>
    <s v="Cameron"/>
    <x v="8"/>
  </r>
  <r>
    <d v="2025-05-25T00:00:00"/>
    <x v="0"/>
    <x v="0"/>
    <n v="15"/>
    <n v="15.85"/>
    <s v="Store C"/>
    <s v="Retail"/>
    <n v="0"/>
    <s v="Bob"/>
    <n v="237.75"/>
    <s v="Debit Card"/>
    <s v="WINTER15"/>
    <n v="0"/>
    <s v="REG100086"/>
    <s v="Cust 5289"/>
    <n v="23.49"/>
    <d v="2025-05-25T00:00:00"/>
    <d v="2025-06-03T00:00:00"/>
    <s v="Eric"/>
    <x v="2"/>
  </r>
  <r>
    <d v="2024-11-16T00:00:00"/>
    <x v="1"/>
    <x v="5"/>
    <n v="20"/>
    <n v="548.34"/>
    <s v="Store B"/>
    <s v="Retail"/>
    <n v="0.1"/>
    <s v="Bob"/>
    <n v="9870.1200000000008"/>
    <s v="Gift Card"/>
    <s v="WINTER15"/>
    <n v="0"/>
    <s v="REG100087"/>
    <s v="Cust 9159"/>
    <n v="33.47"/>
    <d v="2024-11-16T00:00:00"/>
    <d v="2024-11-22T00:00:00"/>
    <s v="Sophie"/>
    <x v="9"/>
  </r>
  <r>
    <d v="2023-11-19T00:00:00"/>
    <x v="2"/>
    <x v="0"/>
    <n v="16"/>
    <n v="525.83000000000004"/>
    <s v="Store C"/>
    <s v="Wholesale"/>
    <n v="0.05"/>
    <s v="Frank"/>
    <n v="7992.616"/>
    <s v="Online"/>
    <m/>
    <n v="0"/>
    <s v="REG100088"/>
    <s v="Cust 4844"/>
    <n v="36.47"/>
    <d v="2023-11-19T00:00:00"/>
    <d v="2023-11-25T00:00:00"/>
    <s v="Ryan"/>
    <x v="9"/>
  </r>
  <r>
    <d v="2025-01-12T00:00:00"/>
    <x v="3"/>
    <x v="0"/>
    <n v="15"/>
    <n v="411.38"/>
    <s v="Store A"/>
    <s v="Wholesale"/>
    <n v="0.05"/>
    <s v="Bob"/>
    <n v="5862.165"/>
    <s v="Online"/>
    <s v="SAVE10"/>
    <n v="0"/>
    <s v="REG100089"/>
    <s v="Cust 3273"/>
    <n v="48.51"/>
    <d v="2025-01-12T00:00:00"/>
    <d v="2025-01-21T00:00:00"/>
    <s v="Cameron"/>
    <x v="4"/>
  </r>
  <r>
    <d v="2023-03-29T00:00:00"/>
    <x v="2"/>
    <x v="4"/>
    <n v="19"/>
    <n v="559.95000000000005"/>
    <s v="Store A"/>
    <s v="Wholesale"/>
    <n v="0.1"/>
    <s v="Carlos"/>
    <n v="9575.1450000000004"/>
    <s v="Credit Card"/>
    <s v="WINTER15"/>
    <n v="0"/>
    <s v="REG100090"/>
    <s v="Cust 8160"/>
    <n v="18.3"/>
    <d v="2023-03-29T00:00:00"/>
    <d v="2023-04-03T00:00:00"/>
    <s v="Ryan"/>
    <x v="6"/>
  </r>
  <r>
    <d v="2025-03-01T00:00:00"/>
    <x v="2"/>
    <x v="2"/>
    <n v="8"/>
    <n v="179.9"/>
    <s v="Store C"/>
    <s v="Retail"/>
    <n v="0.05"/>
    <s v="Carlos"/>
    <n v="1367.24"/>
    <s v="Online"/>
    <s v="SAVE10"/>
    <n v="0"/>
    <s v="REG100091"/>
    <s v="Cust 4439"/>
    <n v="14.8"/>
    <d v="2025-03-01T00:00:00"/>
    <d v="2025-03-05T00:00:00"/>
    <s v="Ryan"/>
    <x v="6"/>
  </r>
  <r>
    <d v="2023-10-18T00:00:00"/>
    <x v="2"/>
    <x v="3"/>
    <n v="12"/>
    <n v="494.15"/>
    <s v="Store B"/>
    <s v="Wholesale"/>
    <n v="0.15"/>
    <s v="Diana"/>
    <n v="5040.329999999999"/>
    <s v="Online"/>
    <s v="SAVE10"/>
    <n v="1"/>
    <s v="REG100092"/>
    <s v="Cust 1127"/>
    <n v="18.05"/>
    <d v="2023-10-18T00:00:00"/>
    <d v="2023-10-20T00:00:00"/>
    <s v="Ryan"/>
    <x v="5"/>
  </r>
  <r>
    <d v="2025-04-13T00:00:00"/>
    <x v="0"/>
    <x v="2"/>
    <n v="10"/>
    <n v="462.99"/>
    <s v="Store C"/>
    <s v="Wholesale"/>
    <n v="0"/>
    <s v="Bob"/>
    <n v="4629.8999999999996"/>
    <s v="Credit Card"/>
    <s v="WINTER15"/>
    <n v="0"/>
    <s v="REG100093"/>
    <s v="Cust 4696"/>
    <n v="5.01"/>
    <d v="2025-04-13T00:00:00"/>
    <d v="2025-04-15T00:00:00"/>
    <s v="Eric"/>
    <x v="7"/>
  </r>
  <r>
    <d v="2025-05-13T00:00:00"/>
    <x v="3"/>
    <x v="0"/>
    <n v="7"/>
    <n v="460.24"/>
    <s v="Store A"/>
    <s v="Retail"/>
    <n v="0.05"/>
    <s v="Alice"/>
    <n v="3060.596"/>
    <s v="Cash"/>
    <s v="SAVE10"/>
    <n v="1"/>
    <s v="REG100094"/>
    <s v="Cust 3014"/>
    <n v="11.54"/>
    <d v="2025-05-13T00:00:00"/>
    <d v="2025-05-23T00:00:00"/>
    <s v="Cameron"/>
    <x v="2"/>
  </r>
  <r>
    <d v="2024-04-21T00:00:00"/>
    <x v="4"/>
    <x v="6"/>
    <n v="17"/>
    <n v="309.52"/>
    <s v="Store B"/>
    <s v="Wholesale"/>
    <n v="0.05"/>
    <s v="Eva"/>
    <n v="4998.7479999999996"/>
    <s v="Online"/>
    <s v="FREESHIP"/>
    <n v="0"/>
    <s v="REG100095"/>
    <s v="Cust 2539"/>
    <n v="6.11"/>
    <d v="2024-04-21T00:00:00"/>
    <d v="2024-04-27T00:00:00"/>
    <s v="Wendy"/>
    <x v="7"/>
  </r>
  <r>
    <d v="2025-01-31T00:00:00"/>
    <x v="3"/>
    <x v="4"/>
    <n v="1"/>
    <n v="323.83"/>
    <s v="Store B"/>
    <s v="Wholesale"/>
    <n v="0.05"/>
    <s v="Eva"/>
    <n v="307.63850000000002"/>
    <s v="Credit Card"/>
    <s v="WINTER15"/>
    <n v="0"/>
    <s v="REG100096"/>
    <s v="Cust 3916"/>
    <n v="27.48"/>
    <d v="2025-01-31T00:00:00"/>
    <d v="2025-02-08T00:00:00"/>
    <s v="Cameron"/>
    <x v="4"/>
  </r>
  <r>
    <d v="2025-03-14T00:00:00"/>
    <x v="3"/>
    <x v="3"/>
    <n v="10"/>
    <n v="503.07"/>
    <s v="Store C"/>
    <s v="Retail"/>
    <n v="0"/>
    <s v="Bob"/>
    <n v="5030.7"/>
    <s v="Credit Card"/>
    <s v="FREESHIP"/>
    <n v="0"/>
    <s v="REG100097"/>
    <s v="Cust 6329"/>
    <n v="44.61"/>
    <d v="2025-03-14T00:00:00"/>
    <d v="2025-03-19T00:00:00"/>
    <s v="Cameron"/>
    <x v="6"/>
  </r>
  <r>
    <d v="2024-05-26T00:00:00"/>
    <x v="4"/>
    <x v="0"/>
    <n v="20"/>
    <n v="491.68"/>
    <s v="Store D"/>
    <s v="Wholesale"/>
    <n v="0.15"/>
    <s v="Alice"/>
    <n v="8358.56"/>
    <s v="Online"/>
    <s v="SAVE10"/>
    <n v="1"/>
    <s v="REG100098"/>
    <s v="Cust 4384"/>
    <n v="43.46"/>
    <d v="2024-05-26T00:00:00"/>
    <d v="2024-05-29T00:00:00"/>
    <s v="Wendy"/>
    <x v="2"/>
  </r>
  <r>
    <d v="2023-07-22T00:00:00"/>
    <x v="2"/>
    <x v="1"/>
    <n v="17"/>
    <n v="468.45"/>
    <s v="Store A"/>
    <s v="Retail"/>
    <n v="0.05"/>
    <s v="Carlos"/>
    <n v="7565.4674999999997"/>
    <s v="Credit Card"/>
    <s v="FREESHIP"/>
    <n v="0"/>
    <s v="REG100099"/>
    <s v="Cust 7756"/>
    <n v="17.88"/>
    <d v="2023-07-22T00:00:00"/>
    <d v="2023-07-26T00:00:00"/>
    <s v="Ryan"/>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B7097-891F-4352-A6A1-5E3C812F77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C15" firstHeaderRow="1" firstDataRow="1" firstDataCol="1"/>
  <pivotFields count="20">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axis="axisRow" showAll="0">
      <items count="13">
        <item x="4"/>
        <item x="0"/>
        <item x="6"/>
        <item x="7"/>
        <item x="2"/>
        <item x="3"/>
        <item x="8"/>
        <item x="10"/>
        <item x="11"/>
        <item x="5"/>
        <item x="9"/>
        <item x="1"/>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TotalPrice" fld="9" baseField="0" baseItem="0"/>
  </dataFields>
  <formats count="8">
    <format dxfId="7">
      <pivotArea type="all" dataOnly="0" outline="0" fieldPosition="0"/>
    </format>
    <format dxfId="6">
      <pivotArea dataOnly="0" outline="0" axis="axisValues" fieldPosition="0"/>
    </format>
    <format dxfId="5">
      <pivotArea type="all" dataOnly="0" outline="0" fieldPosition="0"/>
    </format>
    <format dxfId="4">
      <pivotArea outline="0" collapsedLevelsAreSubtotals="1" fieldPosition="0"/>
    </format>
    <format dxfId="3">
      <pivotArea field="19" type="button" dataOnly="0" labelOnly="1" outline="0" axis="axisRow" fieldPosition="0"/>
    </format>
    <format dxfId="2">
      <pivotArea dataOnly="0" labelOnly="1" fieldPosition="0">
        <references count="1">
          <reference field="19"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699EC1-01F2-4D3C-9F59-04DB18B81F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7:C23" firstHeaderRow="1" firstDataRow="1" firstDataCol="1"/>
  <pivotFields count="20">
    <pivotField numFmtId="164" showAll="0"/>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pivotFields>
  <rowFields count="1">
    <field x="1"/>
  </rowFields>
  <rowItems count="6">
    <i>
      <x/>
    </i>
    <i>
      <x v="1"/>
    </i>
    <i>
      <x v="2"/>
    </i>
    <i>
      <x v="3"/>
    </i>
    <i>
      <x v="4"/>
    </i>
    <i t="grand">
      <x/>
    </i>
  </rowItems>
  <colItems count="1">
    <i/>
  </colItems>
  <dataFields count="1">
    <dataField name="Sum of TotalPrice" fld="9" baseField="0" baseItem="0"/>
  </dataFields>
  <formats count="9">
    <format dxfId="16">
      <pivotArea type="all" dataOnly="0" outline="0" fieldPosition="0"/>
    </format>
    <format dxfId="15">
      <pivotArea dataOnly="0" labelOnly="1" outline="0" axis="axisValues"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DC8ABD-3FDC-404B-B446-A5AA7D5DD0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2:G10" firstHeaderRow="0" firstDataRow="1" firstDataCol="1"/>
  <pivotFields count="20">
    <pivotField numFmtId="164" showAll="0"/>
    <pivotField showAll="0">
      <items count="6">
        <item x="3"/>
        <item x="0"/>
        <item x="2"/>
        <item x="1"/>
        <item x="4"/>
        <item t="default"/>
      </items>
    </pivotField>
    <pivotField axis="axisRow" showAll="0">
      <items count="8">
        <item x="3"/>
        <item x="2"/>
        <item x="0"/>
        <item x="4"/>
        <item x="1"/>
        <item x="6"/>
        <item x="5"/>
        <item t="default"/>
      </items>
    </pivotField>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pivotFields>
  <rowFields count="1">
    <field x="2"/>
  </rowFields>
  <rowItems count="8">
    <i>
      <x/>
    </i>
    <i>
      <x v="1"/>
    </i>
    <i>
      <x v="2"/>
    </i>
    <i>
      <x v="3"/>
    </i>
    <i>
      <x v="4"/>
    </i>
    <i>
      <x v="5"/>
    </i>
    <i>
      <x v="6"/>
    </i>
    <i t="grand">
      <x/>
    </i>
  </rowItems>
  <colFields count="1">
    <field x="-2"/>
  </colFields>
  <colItems count="2">
    <i>
      <x/>
    </i>
    <i i="1">
      <x v="1"/>
    </i>
  </colItems>
  <dataFields count="2">
    <dataField name="Sum of TotalPrice" fld="9" baseField="0" baseItem="0"/>
    <dataField name="Sum of Quantity" fld="3" baseField="0" baseItem="0"/>
  </dataFields>
  <formats count="20">
    <format dxfId="36">
      <pivotArea type="all" dataOnly="0" outline="0" fieldPosition="0"/>
    </format>
    <format dxfId="35">
      <pivotArea outline="0" collapsedLevelsAreSubtotals="1" fieldPosition="0"/>
    </format>
    <format dxfId="34">
      <pivotArea field="2" type="button" dataOnly="0" labelOnly="1" outline="0" axis="axisRow" fieldPosition="0"/>
    </format>
    <format dxfId="33">
      <pivotArea dataOnly="0" labelOnly="1" fieldPosition="0">
        <references count="1">
          <reference field="2" count="0"/>
        </references>
      </pivotArea>
    </format>
    <format dxfId="32">
      <pivotArea dataOnly="0" labelOnly="1" grandRow="1" outline="0" fieldPosition="0"/>
    </format>
    <format dxfId="31">
      <pivotArea dataOnly="0" labelOnly="1" outline="0" fieldPosition="0">
        <references count="1">
          <reference field="4294967294" count="2">
            <x v="0"/>
            <x v="1"/>
          </reference>
        </references>
      </pivotArea>
    </format>
    <format dxfId="30">
      <pivotArea type="all" dataOnly="0" outline="0" fieldPosition="0"/>
    </format>
    <format dxfId="29">
      <pivotArea outline="0" collapsedLevelsAreSubtotals="1" fieldPosition="0"/>
    </format>
    <format dxfId="28">
      <pivotArea field="2" type="button" dataOnly="0" labelOnly="1" outline="0" axis="axisRow" fieldPosition="0"/>
    </format>
    <format dxfId="27">
      <pivotArea dataOnly="0" labelOnly="1" fieldPosition="0">
        <references count="1">
          <reference field="2" count="0"/>
        </references>
      </pivotArea>
    </format>
    <format dxfId="26">
      <pivotArea dataOnly="0" labelOnly="1" grandRow="1" outline="0" fieldPosition="0"/>
    </format>
    <format dxfId="25">
      <pivotArea dataOnly="0" labelOnly="1" outline="0" fieldPosition="0">
        <references count="1">
          <reference field="4294967294" count="2">
            <x v="0"/>
            <x v="1"/>
          </reference>
        </references>
      </pivotArea>
    </format>
    <format dxfId="24">
      <pivotArea dataOnly="0" labelOnly="1" outline="0" fieldPosition="0">
        <references count="1">
          <reference field="4294967294" count="1">
            <x v="1"/>
          </reference>
        </references>
      </pivotArea>
    </format>
    <format dxfId="23">
      <pivotArea dataOnly="0" labelOnly="1" outline="0" fieldPosition="0">
        <references count="1">
          <reference field="4294967294" count="1">
            <x v="0"/>
          </reference>
        </references>
      </pivotArea>
    </format>
    <format dxfId="22">
      <pivotArea type="all" dataOnly="0" outline="0" fieldPosition="0"/>
    </format>
    <format dxfId="21">
      <pivotArea outline="0" collapsedLevelsAreSubtotals="1" fieldPosition="0"/>
    </format>
    <format dxfId="20">
      <pivotArea field="2" type="button" dataOnly="0" labelOnly="1" outline="0" axis="axisRow" fieldPosition="0"/>
    </format>
    <format dxfId="19">
      <pivotArea dataOnly="0" labelOnly="1" fieldPosition="0">
        <references count="1">
          <reference field="2" count="0"/>
        </references>
      </pivotArea>
    </format>
    <format dxfId="18">
      <pivotArea dataOnly="0" labelOnly="1" grandRow="1" outline="0" fieldPosition="0"/>
    </format>
    <format dxfId="17">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F63CCB-BE06-4C0F-B5B9-A2F92E90E107}" sourceName="Region">
  <pivotTables>
    <pivotTable tabId="3" name="PivotTable2"/>
    <pivotTable tabId="3" name="PivotTable3"/>
    <pivotTable tabId="3" name="PivotTable4"/>
  </pivotTables>
  <data>
    <tabular pivotCacheId="1651068373">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E66F4DF-6DD0-42C4-977A-35439CBE2FF1}" sourceName="Product">
  <pivotTables>
    <pivotTable tabId="3" name="PivotTable3"/>
    <pivotTable tabId="3" name="PivotTable2"/>
    <pivotTable tabId="3" name="PivotTable4"/>
  </pivotTables>
  <data>
    <tabular pivotCacheId="1651068373">
      <items count="7">
        <i x="3" s="1"/>
        <i x="2" s="1"/>
        <i x="0" s="1"/>
        <i x="4"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627585-9BD2-48E0-8D94-85F057DB7691}" cache="Slicer_Region" caption="Region" rowHeight="234950"/>
  <slicer name="Product" xr10:uid="{E803FDF5-5C77-4F6C-BF16-2F781B298CB1}"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F23094-C990-45A9-A44E-160FAA11722A}" name="Table2" displayName="Table2" ref="A1:T101" totalsRowShown="0" headerRowDxfId="42" headerRowBorderDxfId="41" tableBorderDxfId="40">
  <autoFilter ref="A1:T101" xr:uid="{2FF23094-C990-45A9-A44E-160FAA11722A}"/>
  <tableColumns count="20">
    <tableColumn id="1" xr3:uid="{DBC2FC0A-1AD0-41EF-9435-C7D10C8162B7}" name="Date" dataDxfId="39"/>
    <tableColumn id="2" xr3:uid="{F4C48CC7-C5FA-4089-8F19-04EB80E8A8FF}" name="Region"/>
    <tableColumn id="3" xr3:uid="{3AA556D5-9EF8-45EB-B893-376AB38DC897}" name="Product"/>
    <tableColumn id="4" xr3:uid="{5B8239F9-3BA4-4D6D-9D07-75522B7532D4}" name="Quantity"/>
    <tableColumn id="5" xr3:uid="{03937395-B8DC-45FD-9882-128DC6FF571A}" name="UnitPrice"/>
    <tableColumn id="6" xr3:uid="{08FCB446-2FB4-49D5-B91C-4A9DE274A4A5}" name="StoreLocation"/>
    <tableColumn id="7" xr3:uid="{1E4967AE-3FD7-488C-923B-D77038E25C41}" name="CustomerType"/>
    <tableColumn id="8" xr3:uid="{4F846F22-5BCD-46D2-A306-5337E20BE18E}" name="Discount"/>
    <tableColumn id="9" xr3:uid="{0C999A09-DA28-4952-B5FD-AEC28C2CF14B}" name="Salesperson"/>
    <tableColumn id="10" xr3:uid="{FEE75C0C-06F4-4A17-AEAB-9049F30B48EB}" name="TotalPrice"/>
    <tableColumn id="11" xr3:uid="{6ED5F253-BF0F-48A6-AF8B-96C4ADE93893}" name="PaymentMethod"/>
    <tableColumn id="12" xr3:uid="{5404AA0C-4C43-48FD-80D9-B1DFB206B6F5}" name="Promotion"/>
    <tableColumn id="13" xr3:uid="{A98F1128-0649-4B80-B9C6-49B88C9E887A}" name="Returned"/>
    <tableColumn id="14" xr3:uid="{13B63617-601B-489F-AD7D-42E9700B9AA1}" name="OrderID"/>
    <tableColumn id="15" xr3:uid="{410D2BAE-732D-48CB-AD90-E5EB377E0F62}" name="CustomerName"/>
    <tableColumn id="16" xr3:uid="{BC34B6DD-96DB-4172-BD8F-07632DF48BF4}" name="ShippingCost"/>
    <tableColumn id="17" xr3:uid="{6039B8FD-3266-47C1-8AE6-7FCB21F38402}" name="OrderDate" dataDxfId="38"/>
    <tableColumn id="18" xr3:uid="{8193624F-AC3C-4509-AD8E-D34D98119343}" name="DeliveryDate" dataDxfId="37"/>
    <tableColumn id="19" xr3:uid="{593E58F1-4CFC-41AD-ACEC-30A1EB52DC85}" name="RegionManager"/>
    <tableColumn id="20" xr3:uid="{EAFC622F-1F42-489E-988C-A63D97FC812F}" name="Month">
      <calculatedColumnFormula>TEXT(A2,"mmmm")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F4EBF-6BF9-4EC6-9C46-DA1CD96DCC18}">
  <dimension ref="A1:T101"/>
  <sheetViews>
    <sheetView tabSelected="1" workbookViewId="0">
      <selection activeCell="I16" sqref="I16"/>
    </sheetView>
  </sheetViews>
  <sheetFormatPr defaultRowHeight="14.4" x14ac:dyDescent="0.3"/>
  <cols>
    <col min="1" max="1" width="10.33203125" bestFit="1" customWidth="1"/>
    <col min="2" max="2" width="8.6640625" customWidth="1"/>
    <col min="3" max="3" width="9.5546875" customWidth="1"/>
    <col min="4" max="4" width="10.21875" customWidth="1"/>
    <col min="5" max="5" width="10.5546875" customWidth="1"/>
    <col min="6" max="6" width="14.5546875" customWidth="1"/>
    <col min="7" max="7" width="15.109375" customWidth="1"/>
    <col min="8" max="8" width="10.21875" customWidth="1"/>
    <col min="9" max="9" width="12.88671875" customWidth="1"/>
    <col min="10" max="10" width="11.21875" customWidth="1"/>
    <col min="11" max="11" width="17.21875" customWidth="1"/>
    <col min="12" max="12" width="11.88671875" customWidth="1"/>
    <col min="13" max="13" width="10.6640625" customWidth="1"/>
    <col min="14" max="14" width="10.33203125" bestFit="1" customWidth="1"/>
    <col min="15" max="15" width="16" customWidth="1"/>
    <col min="16" max="16" width="13.88671875" customWidth="1"/>
    <col min="17" max="17" width="11.5546875" customWidth="1"/>
    <col min="18" max="18" width="13.5546875" customWidth="1"/>
    <col min="19" max="19" width="16.21875" customWidth="1"/>
    <col min="20" max="20" width="12.5546875" customWidth="1"/>
  </cols>
  <sheetData>
    <row r="1" spans="1:2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261</v>
      </c>
    </row>
    <row r="2" spans="1:20" x14ac:dyDescent="0.3">
      <c r="A2" s="1">
        <v>44980</v>
      </c>
      <c r="B2" t="s">
        <v>19</v>
      </c>
      <c r="C2" t="s">
        <v>20</v>
      </c>
      <c r="D2">
        <v>14</v>
      </c>
      <c r="E2">
        <v>163.6</v>
      </c>
      <c r="F2" t="s">
        <v>21</v>
      </c>
      <c r="G2" t="s">
        <v>22</v>
      </c>
      <c r="H2">
        <v>0</v>
      </c>
      <c r="I2" t="s">
        <v>23</v>
      </c>
      <c r="J2">
        <v>2290.4</v>
      </c>
      <c r="K2" t="s">
        <v>24</v>
      </c>
      <c r="L2" t="s">
        <v>25</v>
      </c>
      <c r="M2">
        <v>0</v>
      </c>
      <c r="N2" t="s">
        <v>26</v>
      </c>
      <c r="O2" t="s">
        <v>27</v>
      </c>
      <c r="P2">
        <v>43.34</v>
      </c>
      <c r="Q2" s="1">
        <v>44980</v>
      </c>
      <c r="R2" s="1">
        <v>44984</v>
      </c>
      <c r="S2" t="s">
        <v>28</v>
      </c>
      <c r="T2" t="str">
        <f>TEXT(A2,"mmmm")</f>
        <v>February</v>
      </c>
    </row>
    <row r="3" spans="1:20" x14ac:dyDescent="0.3">
      <c r="A3" s="1">
        <v>45645</v>
      </c>
      <c r="B3" t="s">
        <v>29</v>
      </c>
      <c r="C3" t="s">
        <v>30</v>
      </c>
      <c r="D3">
        <v>1</v>
      </c>
      <c r="E3">
        <v>544.01</v>
      </c>
      <c r="F3" t="s">
        <v>31</v>
      </c>
      <c r="G3" t="s">
        <v>32</v>
      </c>
      <c r="H3">
        <v>0</v>
      </c>
      <c r="I3" t="s">
        <v>33</v>
      </c>
      <c r="J3">
        <v>544.01</v>
      </c>
      <c r="K3" t="s">
        <v>34</v>
      </c>
      <c r="L3" t="s">
        <v>35</v>
      </c>
      <c r="M3">
        <v>0</v>
      </c>
      <c r="N3" t="s">
        <v>36</v>
      </c>
      <c r="O3" t="s">
        <v>37</v>
      </c>
      <c r="P3">
        <v>5.3</v>
      </c>
      <c r="Q3" s="1">
        <v>45645</v>
      </c>
      <c r="R3" s="1">
        <v>45654</v>
      </c>
      <c r="S3" t="s">
        <v>38</v>
      </c>
      <c r="T3" t="str">
        <f t="shared" ref="T3:T66" si="0">TEXT(A3,"mmmm")</f>
        <v>December</v>
      </c>
    </row>
    <row r="4" spans="1:20" x14ac:dyDescent="0.3">
      <c r="A4" s="1">
        <v>45056</v>
      </c>
      <c r="B4" t="s">
        <v>39</v>
      </c>
      <c r="C4" t="s">
        <v>40</v>
      </c>
      <c r="D4">
        <v>14</v>
      </c>
      <c r="E4">
        <v>346.18</v>
      </c>
      <c r="F4" t="s">
        <v>21</v>
      </c>
      <c r="G4" t="s">
        <v>22</v>
      </c>
      <c r="H4">
        <v>0.1</v>
      </c>
      <c r="I4" t="s">
        <v>33</v>
      </c>
      <c r="J4">
        <v>4361.8680000000004</v>
      </c>
      <c r="K4" t="s">
        <v>24</v>
      </c>
      <c r="L4" t="s">
        <v>41</v>
      </c>
      <c r="M4">
        <v>0</v>
      </c>
      <c r="N4" t="s">
        <v>42</v>
      </c>
      <c r="O4" t="s">
        <v>43</v>
      </c>
      <c r="P4">
        <v>20.46</v>
      </c>
      <c r="Q4" s="1">
        <v>45056</v>
      </c>
      <c r="R4" s="1">
        <v>45065</v>
      </c>
      <c r="S4" t="s">
        <v>44</v>
      </c>
      <c r="T4" t="str">
        <f t="shared" si="0"/>
        <v>May</v>
      </c>
    </row>
    <row r="5" spans="1:20" x14ac:dyDescent="0.3">
      <c r="A5" s="1">
        <v>45714</v>
      </c>
      <c r="B5" t="s">
        <v>45</v>
      </c>
      <c r="C5" t="s">
        <v>46</v>
      </c>
      <c r="D5">
        <v>18</v>
      </c>
      <c r="E5">
        <v>384.82</v>
      </c>
      <c r="F5" t="s">
        <v>31</v>
      </c>
      <c r="G5" t="s">
        <v>22</v>
      </c>
      <c r="H5">
        <v>0.15</v>
      </c>
      <c r="I5" t="s">
        <v>47</v>
      </c>
      <c r="J5">
        <v>5887.7460000000001</v>
      </c>
      <c r="K5" t="s">
        <v>34</v>
      </c>
      <c r="L5" t="s">
        <v>25</v>
      </c>
      <c r="M5">
        <v>0</v>
      </c>
      <c r="N5" t="s">
        <v>48</v>
      </c>
      <c r="O5" t="s">
        <v>49</v>
      </c>
      <c r="P5">
        <v>27.95</v>
      </c>
      <c r="Q5" s="1">
        <v>45714</v>
      </c>
      <c r="R5" s="1">
        <v>45718</v>
      </c>
      <c r="S5" t="s">
        <v>50</v>
      </c>
      <c r="T5" t="str">
        <f t="shared" si="0"/>
        <v>February</v>
      </c>
    </row>
    <row r="6" spans="1:20" x14ac:dyDescent="0.3">
      <c r="A6" s="1">
        <v>45101</v>
      </c>
      <c r="B6" t="s">
        <v>19</v>
      </c>
      <c r="C6" t="s">
        <v>40</v>
      </c>
      <c r="D6">
        <v>18</v>
      </c>
      <c r="E6">
        <v>237.76</v>
      </c>
      <c r="F6" t="s">
        <v>51</v>
      </c>
      <c r="G6" t="s">
        <v>32</v>
      </c>
      <c r="H6">
        <v>0</v>
      </c>
      <c r="I6" t="s">
        <v>52</v>
      </c>
      <c r="J6">
        <v>4279.68</v>
      </c>
      <c r="K6" t="s">
        <v>24</v>
      </c>
      <c r="L6" t="s">
        <v>35</v>
      </c>
      <c r="M6">
        <v>0</v>
      </c>
      <c r="N6" t="s">
        <v>53</v>
      </c>
      <c r="O6" t="s">
        <v>54</v>
      </c>
      <c r="P6">
        <v>5.73</v>
      </c>
      <c r="Q6" s="1">
        <v>45101</v>
      </c>
      <c r="R6" s="1">
        <v>45104</v>
      </c>
      <c r="S6" t="s">
        <v>28</v>
      </c>
      <c r="T6" t="str">
        <f t="shared" si="0"/>
        <v>June</v>
      </c>
    </row>
    <row r="7" spans="1:20" x14ac:dyDescent="0.3">
      <c r="A7" s="1">
        <v>45342</v>
      </c>
      <c r="B7" t="s">
        <v>45</v>
      </c>
      <c r="C7" t="s">
        <v>55</v>
      </c>
      <c r="D7">
        <v>2</v>
      </c>
      <c r="E7">
        <v>385.09</v>
      </c>
      <c r="F7" t="s">
        <v>56</v>
      </c>
      <c r="G7" t="s">
        <v>22</v>
      </c>
      <c r="H7">
        <v>0.15</v>
      </c>
      <c r="I7" t="s">
        <v>57</v>
      </c>
      <c r="J7">
        <v>654.65299999999991</v>
      </c>
      <c r="K7" t="s">
        <v>58</v>
      </c>
      <c r="M7">
        <v>0</v>
      </c>
      <c r="N7" t="s">
        <v>59</v>
      </c>
      <c r="O7" t="s">
        <v>60</v>
      </c>
      <c r="P7">
        <v>11.92</v>
      </c>
      <c r="Q7" s="1">
        <v>45342</v>
      </c>
      <c r="R7" s="1">
        <v>45352</v>
      </c>
      <c r="S7" t="s">
        <v>50</v>
      </c>
      <c r="T7" t="str">
        <f t="shared" si="0"/>
        <v>February</v>
      </c>
    </row>
    <row r="8" spans="1:20" x14ac:dyDescent="0.3">
      <c r="A8" s="1">
        <v>44937</v>
      </c>
      <c r="B8" t="s">
        <v>29</v>
      </c>
      <c r="C8" t="s">
        <v>46</v>
      </c>
      <c r="D8">
        <v>7</v>
      </c>
      <c r="E8">
        <v>17.5</v>
      </c>
      <c r="F8" t="s">
        <v>51</v>
      </c>
      <c r="G8" t="s">
        <v>32</v>
      </c>
      <c r="H8">
        <v>0.1</v>
      </c>
      <c r="I8" t="s">
        <v>33</v>
      </c>
      <c r="J8">
        <v>110.25</v>
      </c>
      <c r="K8" t="s">
        <v>61</v>
      </c>
      <c r="L8" t="s">
        <v>41</v>
      </c>
      <c r="M8">
        <v>0</v>
      </c>
      <c r="N8" t="s">
        <v>62</v>
      </c>
      <c r="O8" t="s">
        <v>63</v>
      </c>
      <c r="P8">
        <v>5.0199999999999996</v>
      </c>
      <c r="Q8" s="1">
        <v>44937</v>
      </c>
      <c r="R8" s="1">
        <v>44940</v>
      </c>
      <c r="S8" t="s">
        <v>38</v>
      </c>
      <c r="T8" t="str">
        <f t="shared" si="0"/>
        <v>January</v>
      </c>
    </row>
    <row r="9" spans="1:20" x14ac:dyDescent="0.3">
      <c r="A9" s="1">
        <v>44935</v>
      </c>
      <c r="B9" t="s">
        <v>45</v>
      </c>
      <c r="C9" t="s">
        <v>46</v>
      </c>
      <c r="D9">
        <v>3</v>
      </c>
      <c r="E9">
        <v>330.22</v>
      </c>
      <c r="F9" t="s">
        <v>51</v>
      </c>
      <c r="G9" t="s">
        <v>22</v>
      </c>
      <c r="H9">
        <v>0.15</v>
      </c>
      <c r="I9" t="s">
        <v>52</v>
      </c>
      <c r="J9">
        <v>842.06100000000004</v>
      </c>
      <c r="K9" t="s">
        <v>64</v>
      </c>
      <c r="M9">
        <v>0</v>
      </c>
      <c r="N9" t="s">
        <v>65</v>
      </c>
      <c r="O9" t="s">
        <v>66</v>
      </c>
      <c r="P9">
        <v>48.01</v>
      </c>
      <c r="Q9" s="1">
        <v>44935</v>
      </c>
      <c r="R9" s="1">
        <v>44937</v>
      </c>
      <c r="S9" t="s">
        <v>50</v>
      </c>
      <c r="T9" t="str">
        <f t="shared" si="0"/>
        <v>January</v>
      </c>
    </row>
    <row r="10" spans="1:20" x14ac:dyDescent="0.3">
      <c r="A10" s="1">
        <v>45581</v>
      </c>
      <c r="B10" t="s">
        <v>29</v>
      </c>
      <c r="C10" t="s">
        <v>46</v>
      </c>
      <c r="D10">
        <v>3</v>
      </c>
      <c r="E10">
        <v>432.04</v>
      </c>
      <c r="F10" t="s">
        <v>56</v>
      </c>
      <c r="G10" t="s">
        <v>22</v>
      </c>
      <c r="H10">
        <v>0.05</v>
      </c>
      <c r="I10" t="s">
        <v>67</v>
      </c>
      <c r="J10">
        <v>1231.3140000000001</v>
      </c>
      <c r="K10" t="s">
        <v>61</v>
      </c>
      <c r="L10" t="s">
        <v>25</v>
      </c>
      <c r="M10">
        <v>1</v>
      </c>
      <c r="N10" t="s">
        <v>68</v>
      </c>
      <c r="O10" t="s">
        <v>69</v>
      </c>
      <c r="P10">
        <v>42.11</v>
      </c>
      <c r="Q10" s="1">
        <v>45581</v>
      </c>
      <c r="R10" s="1">
        <v>45583</v>
      </c>
      <c r="S10" t="s">
        <v>38</v>
      </c>
      <c r="T10" t="str">
        <f t="shared" si="0"/>
        <v>October</v>
      </c>
    </row>
    <row r="11" spans="1:20" x14ac:dyDescent="0.3">
      <c r="A11" s="1">
        <v>45721</v>
      </c>
      <c r="B11" t="s">
        <v>70</v>
      </c>
      <c r="C11" t="s">
        <v>40</v>
      </c>
      <c r="D11">
        <v>5</v>
      </c>
      <c r="E11">
        <v>323.27999999999997</v>
      </c>
      <c r="F11" t="s">
        <v>56</v>
      </c>
      <c r="G11" t="s">
        <v>32</v>
      </c>
      <c r="H11">
        <v>0.1</v>
      </c>
      <c r="I11" t="s">
        <v>47</v>
      </c>
      <c r="J11">
        <v>1454.76</v>
      </c>
      <c r="K11" t="s">
        <v>34</v>
      </c>
      <c r="L11" t="s">
        <v>35</v>
      </c>
      <c r="M11">
        <v>0</v>
      </c>
      <c r="N11" t="s">
        <v>71</v>
      </c>
      <c r="O11" t="s">
        <v>72</v>
      </c>
      <c r="P11">
        <v>41.1</v>
      </c>
      <c r="Q11" s="1">
        <v>45721</v>
      </c>
      <c r="R11" s="1">
        <v>45729</v>
      </c>
      <c r="S11" t="s">
        <v>73</v>
      </c>
      <c r="T11" t="str">
        <f t="shared" si="0"/>
        <v>March</v>
      </c>
    </row>
    <row r="12" spans="1:20" x14ac:dyDescent="0.3">
      <c r="A12" s="1">
        <v>45392</v>
      </c>
      <c r="B12" t="s">
        <v>39</v>
      </c>
      <c r="C12" t="s">
        <v>40</v>
      </c>
      <c r="D12">
        <v>15</v>
      </c>
      <c r="E12">
        <v>523.29</v>
      </c>
      <c r="F12" t="s">
        <v>21</v>
      </c>
      <c r="G12" t="s">
        <v>22</v>
      </c>
      <c r="H12">
        <v>0.15</v>
      </c>
      <c r="I12" t="s">
        <v>23</v>
      </c>
      <c r="J12">
        <v>6671.9474999999993</v>
      </c>
      <c r="K12" t="s">
        <v>61</v>
      </c>
      <c r="M12">
        <v>0</v>
      </c>
      <c r="N12" t="s">
        <v>74</v>
      </c>
      <c r="O12" t="s">
        <v>75</v>
      </c>
      <c r="P12">
        <v>12.14</v>
      </c>
      <c r="Q12" s="1">
        <v>45392</v>
      </c>
      <c r="R12" s="1">
        <v>45399</v>
      </c>
      <c r="S12" t="s">
        <v>44</v>
      </c>
      <c r="T12" t="str">
        <f t="shared" si="0"/>
        <v>April</v>
      </c>
    </row>
    <row r="13" spans="1:20" x14ac:dyDescent="0.3">
      <c r="A13" s="1">
        <v>45485</v>
      </c>
      <c r="B13" t="s">
        <v>19</v>
      </c>
      <c r="C13" t="s">
        <v>30</v>
      </c>
      <c r="D13">
        <v>19</v>
      </c>
      <c r="E13">
        <v>207.35</v>
      </c>
      <c r="F13" t="s">
        <v>56</v>
      </c>
      <c r="G13" t="s">
        <v>32</v>
      </c>
      <c r="H13">
        <v>0.1</v>
      </c>
      <c r="I13" t="s">
        <v>23</v>
      </c>
      <c r="J13">
        <v>3545.6849999999999</v>
      </c>
      <c r="K13" t="s">
        <v>34</v>
      </c>
      <c r="M13">
        <v>1</v>
      </c>
      <c r="N13" t="s">
        <v>76</v>
      </c>
      <c r="O13" t="s">
        <v>77</v>
      </c>
      <c r="P13">
        <v>44.89</v>
      </c>
      <c r="Q13" s="1">
        <v>45485</v>
      </c>
      <c r="R13" s="1">
        <v>45491</v>
      </c>
      <c r="S13" t="s">
        <v>28</v>
      </c>
      <c r="T13" t="str">
        <f t="shared" si="0"/>
        <v>July</v>
      </c>
    </row>
    <row r="14" spans="1:20" x14ac:dyDescent="0.3">
      <c r="A14" s="1">
        <v>45128</v>
      </c>
      <c r="B14" t="s">
        <v>45</v>
      </c>
      <c r="C14" t="s">
        <v>30</v>
      </c>
      <c r="D14">
        <v>1</v>
      </c>
      <c r="E14">
        <v>120.53</v>
      </c>
      <c r="F14" t="s">
        <v>21</v>
      </c>
      <c r="G14" t="s">
        <v>32</v>
      </c>
      <c r="H14">
        <v>0.05</v>
      </c>
      <c r="I14" t="s">
        <v>57</v>
      </c>
      <c r="J14">
        <v>114.5035</v>
      </c>
      <c r="K14" t="s">
        <v>64</v>
      </c>
      <c r="L14" t="s">
        <v>41</v>
      </c>
      <c r="M14">
        <v>0</v>
      </c>
      <c r="N14" t="s">
        <v>78</v>
      </c>
      <c r="O14" t="s">
        <v>79</v>
      </c>
      <c r="P14">
        <v>20.350000000000001</v>
      </c>
      <c r="Q14" s="1">
        <v>45128</v>
      </c>
      <c r="R14" s="1">
        <v>45138</v>
      </c>
      <c r="S14" t="s">
        <v>50</v>
      </c>
      <c r="T14" t="str">
        <f t="shared" si="0"/>
        <v>July</v>
      </c>
    </row>
    <row r="15" spans="1:20" x14ac:dyDescent="0.3">
      <c r="A15" s="1">
        <v>45675</v>
      </c>
      <c r="B15" t="s">
        <v>70</v>
      </c>
      <c r="C15" t="s">
        <v>80</v>
      </c>
      <c r="D15">
        <v>1</v>
      </c>
      <c r="E15">
        <v>157.83000000000001</v>
      </c>
      <c r="F15" t="s">
        <v>31</v>
      </c>
      <c r="G15" t="s">
        <v>22</v>
      </c>
      <c r="H15">
        <v>0.15</v>
      </c>
      <c r="I15" t="s">
        <v>52</v>
      </c>
      <c r="J15">
        <v>134.15549999999999</v>
      </c>
      <c r="K15" t="s">
        <v>61</v>
      </c>
      <c r="M15">
        <v>0</v>
      </c>
      <c r="N15" t="s">
        <v>81</v>
      </c>
      <c r="O15" t="s">
        <v>82</v>
      </c>
      <c r="P15">
        <v>42.82</v>
      </c>
      <c r="Q15" s="1">
        <v>45675</v>
      </c>
      <c r="R15" s="1">
        <v>45679</v>
      </c>
      <c r="S15" t="s">
        <v>73</v>
      </c>
      <c r="T15" t="str">
        <f t="shared" si="0"/>
        <v>January</v>
      </c>
    </row>
    <row r="16" spans="1:20" x14ac:dyDescent="0.3">
      <c r="A16" s="1">
        <v>45634</v>
      </c>
      <c r="B16" t="s">
        <v>39</v>
      </c>
      <c r="C16" t="s">
        <v>40</v>
      </c>
      <c r="D16">
        <v>15</v>
      </c>
      <c r="E16">
        <v>220.3</v>
      </c>
      <c r="F16" t="s">
        <v>21</v>
      </c>
      <c r="G16" t="s">
        <v>32</v>
      </c>
      <c r="H16">
        <v>0.15</v>
      </c>
      <c r="I16" t="s">
        <v>57</v>
      </c>
      <c r="J16">
        <v>2808.8249999999998</v>
      </c>
      <c r="K16" t="s">
        <v>61</v>
      </c>
      <c r="M16">
        <v>0</v>
      </c>
      <c r="N16" t="s">
        <v>83</v>
      </c>
      <c r="O16" t="s">
        <v>84</v>
      </c>
      <c r="P16">
        <v>39.659999999999997</v>
      </c>
      <c r="Q16" s="1">
        <v>45634</v>
      </c>
      <c r="R16" s="1">
        <v>45641</v>
      </c>
      <c r="S16" t="s">
        <v>44</v>
      </c>
      <c r="T16" t="str">
        <f t="shared" si="0"/>
        <v>December</v>
      </c>
    </row>
    <row r="17" spans="1:20" x14ac:dyDescent="0.3">
      <c r="A17" s="1">
        <v>45788</v>
      </c>
      <c r="B17" t="s">
        <v>70</v>
      </c>
      <c r="C17" t="s">
        <v>46</v>
      </c>
      <c r="D17">
        <v>17</v>
      </c>
      <c r="E17">
        <v>162.96</v>
      </c>
      <c r="F17" t="s">
        <v>31</v>
      </c>
      <c r="G17" t="s">
        <v>22</v>
      </c>
      <c r="H17">
        <v>0.05</v>
      </c>
      <c r="I17" t="s">
        <v>23</v>
      </c>
      <c r="J17">
        <v>2631.8040000000001</v>
      </c>
      <c r="K17" t="s">
        <v>34</v>
      </c>
      <c r="L17" t="s">
        <v>25</v>
      </c>
      <c r="M17">
        <v>0</v>
      </c>
      <c r="N17" t="s">
        <v>85</v>
      </c>
      <c r="O17" t="s">
        <v>86</v>
      </c>
      <c r="P17">
        <v>8.11</v>
      </c>
      <c r="Q17" s="1">
        <v>45788</v>
      </c>
      <c r="R17" s="1">
        <v>45794</v>
      </c>
      <c r="S17" t="s">
        <v>73</v>
      </c>
      <c r="T17" t="str">
        <f t="shared" si="0"/>
        <v>May</v>
      </c>
    </row>
    <row r="18" spans="1:20" x14ac:dyDescent="0.3">
      <c r="A18" s="1">
        <v>44983</v>
      </c>
      <c r="B18" t="s">
        <v>70</v>
      </c>
      <c r="C18" t="s">
        <v>20</v>
      </c>
      <c r="D18">
        <v>19</v>
      </c>
      <c r="E18">
        <v>236.11</v>
      </c>
      <c r="F18" t="s">
        <v>56</v>
      </c>
      <c r="G18" t="s">
        <v>22</v>
      </c>
      <c r="H18">
        <v>0</v>
      </c>
      <c r="I18" t="s">
        <v>67</v>
      </c>
      <c r="J18">
        <v>4486.09</v>
      </c>
      <c r="K18" t="s">
        <v>24</v>
      </c>
      <c r="L18" t="s">
        <v>41</v>
      </c>
      <c r="M18">
        <v>0</v>
      </c>
      <c r="N18" t="s">
        <v>87</v>
      </c>
      <c r="O18" t="s">
        <v>88</v>
      </c>
      <c r="P18">
        <v>34.11</v>
      </c>
      <c r="Q18" s="1">
        <v>44983</v>
      </c>
      <c r="R18" s="1">
        <v>44989</v>
      </c>
      <c r="S18" t="s">
        <v>73</v>
      </c>
      <c r="T18" t="str">
        <f t="shared" si="0"/>
        <v>February</v>
      </c>
    </row>
    <row r="19" spans="1:20" x14ac:dyDescent="0.3">
      <c r="A19" s="1">
        <v>45440</v>
      </c>
      <c r="B19" t="s">
        <v>45</v>
      </c>
      <c r="C19" t="s">
        <v>40</v>
      </c>
      <c r="D19">
        <v>11</v>
      </c>
      <c r="E19">
        <v>573.14</v>
      </c>
      <c r="F19" t="s">
        <v>56</v>
      </c>
      <c r="G19" t="s">
        <v>32</v>
      </c>
      <c r="H19">
        <v>0.05</v>
      </c>
      <c r="I19" t="s">
        <v>57</v>
      </c>
      <c r="J19">
        <v>5989.3130000000001</v>
      </c>
      <c r="K19" t="s">
        <v>64</v>
      </c>
      <c r="L19" t="s">
        <v>35</v>
      </c>
      <c r="M19">
        <v>0</v>
      </c>
      <c r="N19" t="s">
        <v>89</v>
      </c>
      <c r="O19" t="s">
        <v>90</v>
      </c>
      <c r="P19">
        <v>34.71</v>
      </c>
      <c r="Q19" s="1">
        <v>45440</v>
      </c>
      <c r="R19" s="1">
        <v>45444</v>
      </c>
      <c r="S19" t="s">
        <v>50</v>
      </c>
      <c r="T19" t="str">
        <f t="shared" si="0"/>
        <v>May</v>
      </c>
    </row>
    <row r="20" spans="1:20" x14ac:dyDescent="0.3">
      <c r="A20" s="1">
        <v>45260</v>
      </c>
      <c r="B20" t="s">
        <v>19</v>
      </c>
      <c r="C20" t="s">
        <v>30</v>
      </c>
      <c r="D20">
        <v>20</v>
      </c>
      <c r="E20">
        <v>519.04</v>
      </c>
      <c r="F20" t="s">
        <v>21</v>
      </c>
      <c r="G20" t="s">
        <v>32</v>
      </c>
      <c r="H20">
        <v>0.15</v>
      </c>
      <c r="I20" t="s">
        <v>52</v>
      </c>
      <c r="J20">
        <v>8823.6799999999985</v>
      </c>
      <c r="K20" t="s">
        <v>34</v>
      </c>
      <c r="L20" t="s">
        <v>25</v>
      </c>
      <c r="M20">
        <v>0</v>
      </c>
      <c r="N20" t="s">
        <v>91</v>
      </c>
      <c r="O20" t="s">
        <v>92</v>
      </c>
      <c r="P20">
        <v>19.43</v>
      </c>
      <c r="Q20" s="1">
        <v>45260</v>
      </c>
      <c r="R20" s="1">
        <v>45268</v>
      </c>
      <c r="S20" t="s">
        <v>28</v>
      </c>
      <c r="T20" t="str">
        <f t="shared" si="0"/>
        <v>November</v>
      </c>
    </row>
    <row r="21" spans="1:20" x14ac:dyDescent="0.3">
      <c r="A21" s="1">
        <v>45099</v>
      </c>
      <c r="B21" t="s">
        <v>70</v>
      </c>
      <c r="C21" t="s">
        <v>40</v>
      </c>
      <c r="D21">
        <v>14</v>
      </c>
      <c r="E21">
        <v>30.83</v>
      </c>
      <c r="F21" t="s">
        <v>21</v>
      </c>
      <c r="G21" t="s">
        <v>32</v>
      </c>
      <c r="H21">
        <v>0</v>
      </c>
      <c r="I21" t="s">
        <v>52</v>
      </c>
      <c r="J21">
        <v>431.62</v>
      </c>
      <c r="K21" t="s">
        <v>24</v>
      </c>
      <c r="L21" t="s">
        <v>41</v>
      </c>
      <c r="M21">
        <v>1</v>
      </c>
      <c r="N21" t="s">
        <v>93</v>
      </c>
      <c r="O21" t="s">
        <v>94</v>
      </c>
      <c r="P21">
        <v>7.1</v>
      </c>
      <c r="Q21" s="1">
        <v>45099</v>
      </c>
      <c r="R21" s="1">
        <v>45109</v>
      </c>
      <c r="S21" t="s">
        <v>73</v>
      </c>
      <c r="T21" t="str">
        <f t="shared" si="0"/>
        <v>June</v>
      </c>
    </row>
    <row r="22" spans="1:20" x14ac:dyDescent="0.3">
      <c r="A22" s="1">
        <v>45813</v>
      </c>
      <c r="B22" t="s">
        <v>70</v>
      </c>
      <c r="C22" t="s">
        <v>30</v>
      </c>
      <c r="D22">
        <v>10</v>
      </c>
      <c r="E22">
        <v>319.05</v>
      </c>
      <c r="F22" t="s">
        <v>56</v>
      </c>
      <c r="G22" t="s">
        <v>22</v>
      </c>
      <c r="H22">
        <v>0</v>
      </c>
      <c r="I22" t="s">
        <v>57</v>
      </c>
      <c r="J22">
        <v>3190.5</v>
      </c>
      <c r="K22" t="s">
        <v>24</v>
      </c>
      <c r="M22">
        <v>0</v>
      </c>
      <c r="N22" t="s">
        <v>95</v>
      </c>
      <c r="O22" t="s">
        <v>96</v>
      </c>
      <c r="P22">
        <v>28.43</v>
      </c>
      <c r="Q22" s="1">
        <v>45813</v>
      </c>
      <c r="R22" s="1">
        <v>45816</v>
      </c>
      <c r="S22" t="s">
        <v>73</v>
      </c>
      <c r="T22" t="str">
        <f t="shared" si="0"/>
        <v>June</v>
      </c>
    </row>
    <row r="23" spans="1:20" x14ac:dyDescent="0.3">
      <c r="A23" s="1">
        <v>44988</v>
      </c>
      <c r="B23" t="s">
        <v>45</v>
      </c>
      <c r="C23" t="s">
        <v>46</v>
      </c>
      <c r="D23">
        <v>14</v>
      </c>
      <c r="E23">
        <v>312.79000000000002</v>
      </c>
      <c r="F23" t="s">
        <v>31</v>
      </c>
      <c r="G23" t="s">
        <v>32</v>
      </c>
      <c r="H23">
        <v>0.05</v>
      </c>
      <c r="I23" t="s">
        <v>67</v>
      </c>
      <c r="J23">
        <v>4160.107</v>
      </c>
      <c r="K23" t="s">
        <v>24</v>
      </c>
      <c r="M23">
        <v>1</v>
      </c>
      <c r="N23" t="s">
        <v>97</v>
      </c>
      <c r="O23" t="s">
        <v>98</v>
      </c>
      <c r="P23">
        <v>46.83</v>
      </c>
      <c r="Q23" s="1">
        <v>44988</v>
      </c>
      <c r="R23" s="1">
        <v>44993</v>
      </c>
      <c r="S23" t="s">
        <v>50</v>
      </c>
      <c r="T23" t="str">
        <f t="shared" si="0"/>
        <v>March</v>
      </c>
    </row>
    <row r="24" spans="1:20" x14ac:dyDescent="0.3">
      <c r="A24" s="1">
        <v>45340</v>
      </c>
      <c r="B24" t="s">
        <v>39</v>
      </c>
      <c r="C24" t="s">
        <v>20</v>
      </c>
      <c r="D24">
        <v>14</v>
      </c>
      <c r="E24">
        <v>395.45</v>
      </c>
      <c r="F24" t="s">
        <v>51</v>
      </c>
      <c r="G24" t="s">
        <v>32</v>
      </c>
      <c r="H24">
        <v>0</v>
      </c>
      <c r="I24" t="s">
        <v>52</v>
      </c>
      <c r="J24">
        <v>5536.3</v>
      </c>
      <c r="K24" t="s">
        <v>64</v>
      </c>
      <c r="L24" t="s">
        <v>25</v>
      </c>
      <c r="M24">
        <v>1</v>
      </c>
      <c r="N24" t="s">
        <v>99</v>
      </c>
      <c r="O24" t="s">
        <v>100</v>
      </c>
      <c r="P24">
        <v>36.450000000000003</v>
      </c>
      <c r="Q24" s="1">
        <v>45340</v>
      </c>
      <c r="R24" s="1">
        <v>45344</v>
      </c>
      <c r="S24" t="s">
        <v>44</v>
      </c>
      <c r="T24" t="str">
        <f t="shared" si="0"/>
        <v>February</v>
      </c>
    </row>
    <row r="25" spans="1:20" x14ac:dyDescent="0.3">
      <c r="A25" s="1">
        <v>45144</v>
      </c>
      <c r="B25" t="s">
        <v>45</v>
      </c>
      <c r="C25" t="s">
        <v>20</v>
      </c>
      <c r="D25">
        <v>12</v>
      </c>
      <c r="E25">
        <v>472.72</v>
      </c>
      <c r="F25" t="s">
        <v>56</v>
      </c>
      <c r="G25" t="s">
        <v>32</v>
      </c>
      <c r="H25">
        <v>0.15</v>
      </c>
      <c r="I25" t="s">
        <v>57</v>
      </c>
      <c r="J25">
        <v>4821.7440000000006</v>
      </c>
      <c r="K25" t="s">
        <v>58</v>
      </c>
      <c r="M25">
        <v>0</v>
      </c>
      <c r="N25" t="s">
        <v>101</v>
      </c>
      <c r="O25" t="s">
        <v>102</v>
      </c>
      <c r="P25">
        <v>27.97</v>
      </c>
      <c r="Q25" s="1">
        <v>45144</v>
      </c>
      <c r="R25" s="1">
        <v>45152</v>
      </c>
      <c r="S25" t="s">
        <v>50</v>
      </c>
      <c r="T25" t="str">
        <f t="shared" si="0"/>
        <v>August</v>
      </c>
    </row>
    <row r="26" spans="1:20" x14ac:dyDescent="0.3">
      <c r="A26" s="1">
        <v>45435</v>
      </c>
      <c r="B26" t="s">
        <v>39</v>
      </c>
      <c r="C26" t="s">
        <v>40</v>
      </c>
      <c r="D26">
        <v>5</v>
      </c>
      <c r="E26">
        <v>288.01</v>
      </c>
      <c r="F26" t="s">
        <v>31</v>
      </c>
      <c r="G26" t="s">
        <v>22</v>
      </c>
      <c r="H26">
        <v>0</v>
      </c>
      <c r="I26" t="s">
        <v>23</v>
      </c>
      <c r="J26">
        <v>1440.05</v>
      </c>
      <c r="K26" t="s">
        <v>58</v>
      </c>
      <c r="L26" t="s">
        <v>25</v>
      </c>
      <c r="M26">
        <v>0</v>
      </c>
      <c r="N26" t="s">
        <v>103</v>
      </c>
      <c r="O26" t="s">
        <v>104</v>
      </c>
      <c r="P26">
        <v>46.69</v>
      </c>
      <c r="Q26" s="1">
        <v>45435</v>
      </c>
      <c r="R26" s="1">
        <v>45442</v>
      </c>
      <c r="S26" t="s">
        <v>44</v>
      </c>
      <c r="T26" t="str">
        <f t="shared" si="0"/>
        <v>May</v>
      </c>
    </row>
    <row r="27" spans="1:20" x14ac:dyDescent="0.3">
      <c r="A27" s="1">
        <v>45222</v>
      </c>
      <c r="B27" t="s">
        <v>19</v>
      </c>
      <c r="C27" t="s">
        <v>30</v>
      </c>
      <c r="D27">
        <v>13</v>
      </c>
      <c r="E27">
        <v>562.29</v>
      </c>
      <c r="F27" t="s">
        <v>56</v>
      </c>
      <c r="G27" t="s">
        <v>32</v>
      </c>
      <c r="H27">
        <v>0</v>
      </c>
      <c r="I27" t="s">
        <v>57</v>
      </c>
      <c r="J27">
        <v>7309.77</v>
      </c>
      <c r="K27" t="s">
        <v>34</v>
      </c>
      <c r="L27" t="s">
        <v>35</v>
      </c>
      <c r="M27">
        <v>0</v>
      </c>
      <c r="N27" t="s">
        <v>105</v>
      </c>
      <c r="O27" t="s">
        <v>106</v>
      </c>
      <c r="P27">
        <v>38.130000000000003</v>
      </c>
      <c r="Q27" s="1">
        <v>45222</v>
      </c>
      <c r="R27" s="1">
        <v>45227</v>
      </c>
      <c r="S27" t="s">
        <v>28</v>
      </c>
      <c r="T27" t="str">
        <f t="shared" si="0"/>
        <v>October</v>
      </c>
    </row>
    <row r="28" spans="1:20" x14ac:dyDescent="0.3">
      <c r="A28" s="1">
        <v>45824</v>
      </c>
      <c r="B28" t="s">
        <v>70</v>
      </c>
      <c r="C28" t="s">
        <v>30</v>
      </c>
      <c r="D28">
        <v>1</v>
      </c>
      <c r="E28">
        <v>101.73</v>
      </c>
      <c r="F28" t="s">
        <v>56</v>
      </c>
      <c r="G28" t="s">
        <v>32</v>
      </c>
      <c r="H28">
        <v>0</v>
      </c>
      <c r="I28" t="s">
        <v>47</v>
      </c>
      <c r="J28">
        <v>101.73</v>
      </c>
      <c r="K28" t="s">
        <v>61</v>
      </c>
      <c r="L28" t="s">
        <v>41</v>
      </c>
      <c r="M28">
        <v>0</v>
      </c>
      <c r="N28" t="s">
        <v>107</v>
      </c>
      <c r="O28" t="s">
        <v>108</v>
      </c>
      <c r="P28">
        <v>11.59</v>
      </c>
      <c r="Q28" s="1">
        <v>45824</v>
      </c>
      <c r="R28" s="1">
        <v>45833</v>
      </c>
      <c r="S28" t="s">
        <v>73</v>
      </c>
      <c r="T28" t="str">
        <f t="shared" si="0"/>
        <v>June</v>
      </c>
    </row>
    <row r="29" spans="1:20" x14ac:dyDescent="0.3">
      <c r="A29" s="1">
        <v>44988</v>
      </c>
      <c r="B29" t="s">
        <v>39</v>
      </c>
      <c r="C29" t="s">
        <v>30</v>
      </c>
      <c r="D29">
        <v>4</v>
      </c>
      <c r="E29">
        <v>279.49</v>
      </c>
      <c r="F29" t="s">
        <v>21</v>
      </c>
      <c r="G29" t="s">
        <v>32</v>
      </c>
      <c r="H29">
        <v>0</v>
      </c>
      <c r="I29" t="s">
        <v>57</v>
      </c>
      <c r="J29">
        <v>1117.96</v>
      </c>
      <c r="K29" t="s">
        <v>58</v>
      </c>
      <c r="L29" t="s">
        <v>25</v>
      </c>
      <c r="M29">
        <v>0</v>
      </c>
      <c r="N29" t="s">
        <v>109</v>
      </c>
      <c r="O29" t="s">
        <v>110</v>
      </c>
      <c r="P29">
        <v>24.78</v>
      </c>
      <c r="Q29" s="1">
        <v>44988</v>
      </c>
      <c r="R29" s="1">
        <v>44993</v>
      </c>
      <c r="S29" t="s">
        <v>44</v>
      </c>
      <c r="T29" t="str">
        <f t="shared" si="0"/>
        <v>March</v>
      </c>
    </row>
    <row r="30" spans="1:20" x14ac:dyDescent="0.3">
      <c r="A30" s="1">
        <v>45614</v>
      </c>
      <c r="B30" t="s">
        <v>29</v>
      </c>
      <c r="C30" t="s">
        <v>20</v>
      </c>
      <c r="D30">
        <v>1</v>
      </c>
      <c r="E30">
        <v>178.55</v>
      </c>
      <c r="F30" t="s">
        <v>31</v>
      </c>
      <c r="G30" t="s">
        <v>32</v>
      </c>
      <c r="H30">
        <v>0.15</v>
      </c>
      <c r="I30" t="s">
        <v>52</v>
      </c>
      <c r="J30">
        <v>151.76750000000001</v>
      </c>
      <c r="K30" t="s">
        <v>61</v>
      </c>
      <c r="L30" t="s">
        <v>35</v>
      </c>
      <c r="M30">
        <v>1</v>
      </c>
      <c r="N30" t="s">
        <v>111</v>
      </c>
      <c r="O30" t="s">
        <v>112</v>
      </c>
      <c r="P30">
        <v>7.61</v>
      </c>
      <c r="Q30" s="1">
        <v>45614</v>
      </c>
      <c r="R30" s="1">
        <v>45617</v>
      </c>
      <c r="S30" t="s">
        <v>38</v>
      </c>
      <c r="T30" t="str">
        <f t="shared" si="0"/>
        <v>November</v>
      </c>
    </row>
    <row r="31" spans="1:20" x14ac:dyDescent="0.3">
      <c r="A31" s="1">
        <v>45055</v>
      </c>
      <c r="B31" t="s">
        <v>45</v>
      </c>
      <c r="C31" t="s">
        <v>80</v>
      </c>
      <c r="D31">
        <v>1</v>
      </c>
      <c r="E31">
        <v>472.07</v>
      </c>
      <c r="F31" t="s">
        <v>31</v>
      </c>
      <c r="G31" t="s">
        <v>22</v>
      </c>
      <c r="H31">
        <v>0.1</v>
      </c>
      <c r="I31" t="s">
        <v>52</v>
      </c>
      <c r="J31">
        <v>424.863</v>
      </c>
      <c r="K31" t="s">
        <v>24</v>
      </c>
      <c r="L31" t="s">
        <v>25</v>
      </c>
      <c r="M31">
        <v>0</v>
      </c>
      <c r="N31" t="s">
        <v>113</v>
      </c>
      <c r="O31" t="s">
        <v>114</v>
      </c>
      <c r="P31">
        <v>33.17</v>
      </c>
      <c r="Q31" s="1">
        <v>45055</v>
      </c>
      <c r="R31" s="1">
        <v>45063</v>
      </c>
      <c r="S31" t="s">
        <v>50</v>
      </c>
      <c r="T31" t="str">
        <f t="shared" si="0"/>
        <v>May</v>
      </c>
    </row>
    <row r="32" spans="1:20" x14ac:dyDescent="0.3">
      <c r="A32" s="1">
        <v>45633</v>
      </c>
      <c r="B32" t="s">
        <v>39</v>
      </c>
      <c r="C32" t="s">
        <v>80</v>
      </c>
      <c r="D32">
        <v>12</v>
      </c>
      <c r="E32">
        <v>306.29000000000002</v>
      </c>
      <c r="F32" t="s">
        <v>56</v>
      </c>
      <c r="G32" t="s">
        <v>32</v>
      </c>
      <c r="H32">
        <v>0</v>
      </c>
      <c r="I32" t="s">
        <v>47</v>
      </c>
      <c r="J32">
        <v>3675.48</v>
      </c>
      <c r="K32" t="s">
        <v>61</v>
      </c>
      <c r="L32" t="s">
        <v>35</v>
      </c>
      <c r="M32">
        <v>0</v>
      </c>
      <c r="N32" t="s">
        <v>115</v>
      </c>
      <c r="O32" t="s">
        <v>116</v>
      </c>
      <c r="P32">
        <v>37.380000000000003</v>
      </c>
      <c r="Q32" s="1">
        <v>45633</v>
      </c>
      <c r="R32" s="1">
        <v>45640</v>
      </c>
      <c r="S32" t="s">
        <v>44</v>
      </c>
      <c r="T32" t="str">
        <f t="shared" si="0"/>
        <v>December</v>
      </c>
    </row>
    <row r="33" spans="1:20" x14ac:dyDescent="0.3">
      <c r="A33" s="1">
        <v>45335</v>
      </c>
      <c r="B33" t="s">
        <v>39</v>
      </c>
      <c r="C33" t="s">
        <v>30</v>
      </c>
      <c r="D33">
        <v>7</v>
      </c>
      <c r="E33">
        <v>434.77</v>
      </c>
      <c r="F33" t="s">
        <v>51</v>
      </c>
      <c r="G33" t="s">
        <v>32</v>
      </c>
      <c r="H33">
        <v>0.15</v>
      </c>
      <c r="I33" t="s">
        <v>47</v>
      </c>
      <c r="J33">
        <v>2586.8815</v>
      </c>
      <c r="K33" t="s">
        <v>24</v>
      </c>
      <c r="L33" t="s">
        <v>35</v>
      </c>
      <c r="M33">
        <v>0</v>
      </c>
      <c r="N33" t="s">
        <v>117</v>
      </c>
      <c r="O33" t="s">
        <v>118</v>
      </c>
      <c r="P33">
        <v>12.35</v>
      </c>
      <c r="Q33" s="1">
        <v>45335</v>
      </c>
      <c r="R33" s="1">
        <v>45337</v>
      </c>
      <c r="S33" t="s">
        <v>44</v>
      </c>
      <c r="T33" t="str">
        <f t="shared" si="0"/>
        <v>February</v>
      </c>
    </row>
    <row r="34" spans="1:20" x14ac:dyDescent="0.3">
      <c r="A34" s="1">
        <v>45725</v>
      </c>
      <c r="B34" t="s">
        <v>29</v>
      </c>
      <c r="C34" t="s">
        <v>40</v>
      </c>
      <c r="D34">
        <v>6</v>
      </c>
      <c r="E34">
        <v>64.98</v>
      </c>
      <c r="F34" t="s">
        <v>51</v>
      </c>
      <c r="G34" t="s">
        <v>32</v>
      </c>
      <c r="H34">
        <v>0</v>
      </c>
      <c r="I34" t="s">
        <v>52</v>
      </c>
      <c r="J34">
        <v>389.88</v>
      </c>
      <c r="K34" t="s">
        <v>61</v>
      </c>
      <c r="L34" t="s">
        <v>41</v>
      </c>
      <c r="M34">
        <v>0</v>
      </c>
      <c r="N34" t="s">
        <v>119</v>
      </c>
      <c r="O34" t="s">
        <v>120</v>
      </c>
      <c r="P34">
        <v>21.25</v>
      </c>
      <c r="Q34" s="1">
        <v>45725</v>
      </c>
      <c r="R34" s="1">
        <v>45731</v>
      </c>
      <c r="S34" t="s">
        <v>38</v>
      </c>
      <c r="T34" t="str">
        <f t="shared" si="0"/>
        <v>March</v>
      </c>
    </row>
    <row r="35" spans="1:20" x14ac:dyDescent="0.3">
      <c r="A35" s="1">
        <v>45021</v>
      </c>
      <c r="B35" t="s">
        <v>45</v>
      </c>
      <c r="C35" t="s">
        <v>40</v>
      </c>
      <c r="D35">
        <v>17</v>
      </c>
      <c r="E35">
        <v>476.49</v>
      </c>
      <c r="F35" t="s">
        <v>56</v>
      </c>
      <c r="G35" t="s">
        <v>32</v>
      </c>
      <c r="H35">
        <v>0</v>
      </c>
      <c r="I35" t="s">
        <v>33</v>
      </c>
      <c r="J35">
        <v>8100.33</v>
      </c>
      <c r="K35" t="s">
        <v>34</v>
      </c>
      <c r="M35">
        <v>0</v>
      </c>
      <c r="N35" t="s">
        <v>121</v>
      </c>
      <c r="O35" t="s">
        <v>122</v>
      </c>
      <c r="P35">
        <v>17.91</v>
      </c>
      <c r="Q35" s="1">
        <v>45021</v>
      </c>
      <c r="R35" s="1">
        <v>45027</v>
      </c>
      <c r="S35" t="s">
        <v>50</v>
      </c>
      <c r="T35" t="str">
        <f t="shared" si="0"/>
        <v>April</v>
      </c>
    </row>
    <row r="36" spans="1:20" x14ac:dyDescent="0.3">
      <c r="A36" s="1">
        <v>45785</v>
      </c>
      <c r="B36" t="s">
        <v>39</v>
      </c>
      <c r="C36" t="s">
        <v>55</v>
      </c>
      <c r="D36">
        <v>4</v>
      </c>
      <c r="E36">
        <v>559.72</v>
      </c>
      <c r="F36" t="s">
        <v>56</v>
      </c>
      <c r="G36" t="s">
        <v>32</v>
      </c>
      <c r="H36">
        <v>0.15</v>
      </c>
      <c r="I36" t="s">
        <v>57</v>
      </c>
      <c r="J36">
        <v>1903.048</v>
      </c>
      <c r="K36" t="s">
        <v>24</v>
      </c>
      <c r="L36" t="s">
        <v>35</v>
      </c>
      <c r="M36">
        <v>0</v>
      </c>
      <c r="N36" t="s">
        <v>123</v>
      </c>
      <c r="O36" t="s">
        <v>124</v>
      </c>
      <c r="P36">
        <v>41.91</v>
      </c>
      <c r="Q36" s="1">
        <v>45785</v>
      </c>
      <c r="R36" s="1">
        <v>45789</v>
      </c>
      <c r="S36" t="s">
        <v>44</v>
      </c>
      <c r="T36" t="str">
        <f t="shared" si="0"/>
        <v>May</v>
      </c>
    </row>
    <row r="37" spans="1:20" x14ac:dyDescent="0.3">
      <c r="A37" s="1">
        <v>45172</v>
      </c>
      <c r="B37" t="s">
        <v>39</v>
      </c>
      <c r="C37" t="s">
        <v>80</v>
      </c>
      <c r="D37">
        <v>14</v>
      </c>
      <c r="E37">
        <v>82.14</v>
      </c>
      <c r="F37" t="s">
        <v>51</v>
      </c>
      <c r="G37" t="s">
        <v>32</v>
      </c>
      <c r="H37">
        <v>0</v>
      </c>
      <c r="I37" t="s">
        <v>33</v>
      </c>
      <c r="J37">
        <v>1149.96</v>
      </c>
      <c r="K37" t="s">
        <v>58</v>
      </c>
      <c r="M37">
        <v>0</v>
      </c>
      <c r="N37" t="s">
        <v>125</v>
      </c>
      <c r="O37" t="s">
        <v>126</v>
      </c>
      <c r="P37">
        <v>12.57</v>
      </c>
      <c r="Q37" s="1">
        <v>45172</v>
      </c>
      <c r="R37" s="1">
        <v>45180</v>
      </c>
      <c r="S37" t="s">
        <v>44</v>
      </c>
      <c r="T37" t="str">
        <f t="shared" si="0"/>
        <v>September</v>
      </c>
    </row>
    <row r="38" spans="1:20" x14ac:dyDescent="0.3">
      <c r="A38" s="1">
        <v>45737</v>
      </c>
      <c r="B38" t="s">
        <v>45</v>
      </c>
      <c r="C38" t="s">
        <v>46</v>
      </c>
      <c r="D38">
        <v>9</v>
      </c>
      <c r="E38">
        <v>343.21</v>
      </c>
      <c r="F38" t="s">
        <v>31</v>
      </c>
      <c r="G38" t="s">
        <v>32</v>
      </c>
      <c r="H38">
        <v>0.05</v>
      </c>
      <c r="I38" t="s">
        <v>52</v>
      </c>
      <c r="J38">
        <v>2934.4454999999998</v>
      </c>
      <c r="K38" t="s">
        <v>61</v>
      </c>
      <c r="L38" t="s">
        <v>25</v>
      </c>
      <c r="M38">
        <v>0</v>
      </c>
      <c r="N38" t="s">
        <v>127</v>
      </c>
      <c r="O38" t="s">
        <v>128</v>
      </c>
      <c r="P38">
        <v>40.29</v>
      </c>
      <c r="Q38" s="1">
        <v>45737</v>
      </c>
      <c r="R38" s="1">
        <v>45744</v>
      </c>
      <c r="S38" t="s">
        <v>50</v>
      </c>
      <c r="T38" t="str">
        <f t="shared" si="0"/>
        <v>March</v>
      </c>
    </row>
    <row r="39" spans="1:20" x14ac:dyDescent="0.3">
      <c r="A39" s="1">
        <v>45828</v>
      </c>
      <c r="B39" t="s">
        <v>29</v>
      </c>
      <c r="C39" t="s">
        <v>46</v>
      </c>
      <c r="D39">
        <v>7</v>
      </c>
      <c r="E39">
        <v>301.01</v>
      </c>
      <c r="F39" t="s">
        <v>21</v>
      </c>
      <c r="G39" t="s">
        <v>32</v>
      </c>
      <c r="H39">
        <v>0.15</v>
      </c>
      <c r="I39" t="s">
        <v>57</v>
      </c>
      <c r="J39">
        <v>1791.0094999999999</v>
      </c>
      <c r="K39" t="s">
        <v>64</v>
      </c>
      <c r="L39" t="s">
        <v>35</v>
      </c>
      <c r="M39">
        <v>1</v>
      </c>
      <c r="N39" t="s">
        <v>129</v>
      </c>
      <c r="O39" t="s">
        <v>130</v>
      </c>
      <c r="P39">
        <v>34.97</v>
      </c>
      <c r="Q39" s="1">
        <v>45828</v>
      </c>
      <c r="R39" s="1">
        <v>45838</v>
      </c>
      <c r="S39" t="s">
        <v>38</v>
      </c>
      <c r="T39" t="str">
        <f t="shared" si="0"/>
        <v>June</v>
      </c>
    </row>
    <row r="40" spans="1:20" x14ac:dyDescent="0.3">
      <c r="A40" s="1">
        <v>45337</v>
      </c>
      <c r="B40" t="s">
        <v>45</v>
      </c>
      <c r="C40" t="s">
        <v>131</v>
      </c>
      <c r="D40">
        <v>14</v>
      </c>
      <c r="E40">
        <v>428.13</v>
      </c>
      <c r="F40" t="s">
        <v>51</v>
      </c>
      <c r="G40" t="s">
        <v>32</v>
      </c>
      <c r="H40">
        <v>0.1</v>
      </c>
      <c r="I40" t="s">
        <v>67</v>
      </c>
      <c r="J40">
        <v>5394.4380000000001</v>
      </c>
      <c r="K40" t="s">
        <v>64</v>
      </c>
      <c r="M40">
        <v>1</v>
      </c>
      <c r="N40" t="s">
        <v>132</v>
      </c>
      <c r="O40" t="s">
        <v>133</v>
      </c>
      <c r="P40">
        <v>24.77</v>
      </c>
      <c r="Q40" s="1">
        <v>45337</v>
      </c>
      <c r="R40" s="1">
        <v>45347</v>
      </c>
      <c r="S40" t="s">
        <v>50</v>
      </c>
      <c r="T40" t="str">
        <f t="shared" si="0"/>
        <v>February</v>
      </c>
    </row>
    <row r="41" spans="1:20" x14ac:dyDescent="0.3">
      <c r="A41" s="1">
        <v>45086</v>
      </c>
      <c r="B41" t="s">
        <v>45</v>
      </c>
      <c r="C41" t="s">
        <v>20</v>
      </c>
      <c r="D41">
        <v>2</v>
      </c>
      <c r="E41">
        <v>503.28</v>
      </c>
      <c r="F41" t="s">
        <v>56</v>
      </c>
      <c r="G41" t="s">
        <v>32</v>
      </c>
      <c r="H41">
        <v>0.15</v>
      </c>
      <c r="I41" t="s">
        <v>33</v>
      </c>
      <c r="J41">
        <v>855.57599999999991</v>
      </c>
      <c r="K41" t="s">
        <v>34</v>
      </c>
      <c r="M41">
        <v>0</v>
      </c>
      <c r="N41" t="s">
        <v>134</v>
      </c>
      <c r="O41" t="s">
        <v>135</v>
      </c>
      <c r="P41">
        <v>34.79</v>
      </c>
      <c r="Q41" s="1">
        <v>45086</v>
      </c>
      <c r="R41" s="1">
        <v>45094</v>
      </c>
      <c r="S41" t="s">
        <v>50</v>
      </c>
      <c r="T41" t="str">
        <f t="shared" si="0"/>
        <v>June</v>
      </c>
    </row>
    <row r="42" spans="1:20" x14ac:dyDescent="0.3">
      <c r="A42" s="1">
        <v>45148</v>
      </c>
      <c r="B42" t="s">
        <v>29</v>
      </c>
      <c r="C42" t="s">
        <v>131</v>
      </c>
      <c r="D42">
        <v>5</v>
      </c>
      <c r="E42">
        <v>470.32</v>
      </c>
      <c r="F42" t="s">
        <v>31</v>
      </c>
      <c r="G42" t="s">
        <v>32</v>
      </c>
      <c r="H42">
        <v>0.1</v>
      </c>
      <c r="I42" t="s">
        <v>23</v>
      </c>
      <c r="J42">
        <v>2116.44</v>
      </c>
      <c r="K42" t="s">
        <v>61</v>
      </c>
      <c r="L42" t="s">
        <v>35</v>
      </c>
      <c r="M42">
        <v>0</v>
      </c>
      <c r="N42" t="s">
        <v>136</v>
      </c>
      <c r="O42" t="s">
        <v>137</v>
      </c>
      <c r="P42">
        <v>17.77</v>
      </c>
      <c r="Q42" s="1">
        <v>45148</v>
      </c>
      <c r="R42" s="1">
        <v>45152</v>
      </c>
      <c r="S42" t="s">
        <v>38</v>
      </c>
      <c r="T42" t="str">
        <f t="shared" si="0"/>
        <v>August</v>
      </c>
    </row>
    <row r="43" spans="1:20" x14ac:dyDescent="0.3">
      <c r="A43" s="1">
        <v>45459</v>
      </c>
      <c r="B43" t="s">
        <v>45</v>
      </c>
      <c r="C43" t="s">
        <v>131</v>
      </c>
      <c r="D43">
        <v>20</v>
      </c>
      <c r="E43">
        <v>65.17</v>
      </c>
      <c r="F43" t="s">
        <v>51</v>
      </c>
      <c r="G43" t="s">
        <v>22</v>
      </c>
      <c r="H43">
        <v>0.05</v>
      </c>
      <c r="I43" t="s">
        <v>23</v>
      </c>
      <c r="J43">
        <v>1238.23</v>
      </c>
      <c r="K43" t="s">
        <v>34</v>
      </c>
      <c r="L43" t="s">
        <v>25</v>
      </c>
      <c r="M43">
        <v>0</v>
      </c>
      <c r="N43" t="s">
        <v>138</v>
      </c>
      <c r="O43" t="s">
        <v>139</v>
      </c>
      <c r="P43">
        <v>21.72</v>
      </c>
      <c r="Q43" s="1">
        <v>45459</v>
      </c>
      <c r="R43" s="1">
        <v>45468</v>
      </c>
      <c r="S43" t="s">
        <v>50</v>
      </c>
      <c r="T43" t="str">
        <f t="shared" si="0"/>
        <v>June</v>
      </c>
    </row>
    <row r="44" spans="1:20" x14ac:dyDescent="0.3">
      <c r="A44" s="1">
        <v>45130</v>
      </c>
      <c r="B44" t="s">
        <v>29</v>
      </c>
      <c r="C44" t="s">
        <v>20</v>
      </c>
      <c r="D44">
        <v>12</v>
      </c>
      <c r="E44">
        <v>36.17</v>
      </c>
      <c r="F44" t="s">
        <v>31</v>
      </c>
      <c r="G44" t="s">
        <v>32</v>
      </c>
      <c r="H44">
        <v>0</v>
      </c>
      <c r="I44" t="s">
        <v>23</v>
      </c>
      <c r="J44">
        <v>434.04</v>
      </c>
      <c r="K44" t="s">
        <v>24</v>
      </c>
      <c r="L44" t="s">
        <v>41</v>
      </c>
      <c r="M44">
        <v>0</v>
      </c>
      <c r="N44" t="s">
        <v>140</v>
      </c>
      <c r="O44" t="s">
        <v>141</v>
      </c>
      <c r="P44">
        <v>34.85</v>
      </c>
      <c r="Q44" s="1">
        <v>45130</v>
      </c>
      <c r="R44" s="1">
        <v>45133</v>
      </c>
      <c r="S44" t="s">
        <v>38</v>
      </c>
      <c r="T44" t="str">
        <f t="shared" si="0"/>
        <v>July</v>
      </c>
    </row>
    <row r="45" spans="1:20" x14ac:dyDescent="0.3">
      <c r="A45" s="1">
        <v>45066</v>
      </c>
      <c r="B45" t="s">
        <v>45</v>
      </c>
      <c r="C45" t="s">
        <v>131</v>
      </c>
      <c r="D45">
        <v>4</v>
      </c>
      <c r="E45">
        <v>459.31</v>
      </c>
      <c r="F45" t="s">
        <v>56</v>
      </c>
      <c r="G45" t="s">
        <v>22</v>
      </c>
      <c r="H45">
        <v>0.15</v>
      </c>
      <c r="I45" t="s">
        <v>52</v>
      </c>
      <c r="J45">
        <v>1561.654</v>
      </c>
      <c r="K45" t="s">
        <v>34</v>
      </c>
      <c r="L45" t="s">
        <v>41</v>
      </c>
      <c r="M45">
        <v>1</v>
      </c>
      <c r="N45" t="s">
        <v>142</v>
      </c>
      <c r="O45" t="s">
        <v>143</v>
      </c>
      <c r="P45">
        <v>27.39</v>
      </c>
      <c r="Q45" s="1">
        <v>45066</v>
      </c>
      <c r="R45" s="1">
        <v>45073</v>
      </c>
      <c r="S45" t="s">
        <v>50</v>
      </c>
      <c r="T45" t="str">
        <f t="shared" si="0"/>
        <v>May</v>
      </c>
    </row>
    <row r="46" spans="1:20" x14ac:dyDescent="0.3">
      <c r="A46" s="1">
        <v>45107</v>
      </c>
      <c r="B46" t="s">
        <v>29</v>
      </c>
      <c r="C46" t="s">
        <v>20</v>
      </c>
      <c r="D46">
        <v>2</v>
      </c>
      <c r="E46">
        <v>416.06</v>
      </c>
      <c r="F46" t="s">
        <v>56</v>
      </c>
      <c r="G46" t="s">
        <v>32</v>
      </c>
      <c r="H46">
        <v>0.05</v>
      </c>
      <c r="I46" t="s">
        <v>23</v>
      </c>
      <c r="J46">
        <v>790.51400000000001</v>
      </c>
      <c r="K46" t="s">
        <v>61</v>
      </c>
      <c r="L46" t="s">
        <v>35</v>
      </c>
      <c r="M46">
        <v>0</v>
      </c>
      <c r="N46" t="s">
        <v>144</v>
      </c>
      <c r="O46" t="s">
        <v>145</v>
      </c>
      <c r="P46">
        <v>11.62</v>
      </c>
      <c r="Q46" s="1">
        <v>45107</v>
      </c>
      <c r="R46" s="1">
        <v>45111</v>
      </c>
      <c r="S46" t="s">
        <v>38</v>
      </c>
      <c r="T46" t="str">
        <f t="shared" si="0"/>
        <v>June</v>
      </c>
    </row>
    <row r="47" spans="1:20" x14ac:dyDescent="0.3">
      <c r="A47" s="1">
        <v>45447</v>
      </c>
      <c r="B47" t="s">
        <v>29</v>
      </c>
      <c r="C47" t="s">
        <v>80</v>
      </c>
      <c r="D47">
        <v>16</v>
      </c>
      <c r="E47">
        <v>302.58</v>
      </c>
      <c r="F47" t="s">
        <v>56</v>
      </c>
      <c r="G47" t="s">
        <v>32</v>
      </c>
      <c r="H47">
        <v>0</v>
      </c>
      <c r="I47" t="s">
        <v>33</v>
      </c>
      <c r="J47">
        <v>4841.28</v>
      </c>
      <c r="K47" t="s">
        <v>24</v>
      </c>
      <c r="L47" t="s">
        <v>41</v>
      </c>
      <c r="M47">
        <v>1</v>
      </c>
      <c r="N47" t="s">
        <v>146</v>
      </c>
      <c r="O47" t="s">
        <v>147</v>
      </c>
      <c r="P47">
        <v>20.76</v>
      </c>
      <c r="Q47" s="1">
        <v>45447</v>
      </c>
      <c r="R47" s="1">
        <v>45457</v>
      </c>
      <c r="S47" t="s">
        <v>38</v>
      </c>
      <c r="T47" t="str">
        <f t="shared" si="0"/>
        <v>June</v>
      </c>
    </row>
    <row r="48" spans="1:20" x14ac:dyDescent="0.3">
      <c r="A48" s="1">
        <v>45691</v>
      </c>
      <c r="B48" t="s">
        <v>70</v>
      </c>
      <c r="C48" t="s">
        <v>46</v>
      </c>
      <c r="D48">
        <v>11</v>
      </c>
      <c r="E48">
        <v>33.130000000000003</v>
      </c>
      <c r="F48" t="s">
        <v>31</v>
      </c>
      <c r="G48" t="s">
        <v>32</v>
      </c>
      <c r="H48">
        <v>0.15</v>
      </c>
      <c r="I48" t="s">
        <v>47</v>
      </c>
      <c r="J48">
        <v>309.76549999999997</v>
      </c>
      <c r="K48" t="s">
        <v>24</v>
      </c>
      <c r="L48" t="s">
        <v>25</v>
      </c>
      <c r="M48">
        <v>0</v>
      </c>
      <c r="N48" t="s">
        <v>148</v>
      </c>
      <c r="O48" t="s">
        <v>149</v>
      </c>
      <c r="P48">
        <v>24.95</v>
      </c>
      <c r="Q48" s="1">
        <v>45691</v>
      </c>
      <c r="R48" s="1">
        <v>45693</v>
      </c>
      <c r="S48" t="s">
        <v>73</v>
      </c>
      <c r="T48" t="str">
        <f t="shared" si="0"/>
        <v>February</v>
      </c>
    </row>
    <row r="49" spans="1:20" x14ac:dyDescent="0.3">
      <c r="A49" s="1">
        <v>45300</v>
      </c>
      <c r="B49" t="s">
        <v>19</v>
      </c>
      <c r="C49" t="s">
        <v>80</v>
      </c>
      <c r="D49">
        <v>8</v>
      </c>
      <c r="E49">
        <v>582.52</v>
      </c>
      <c r="F49" t="s">
        <v>56</v>
      </c>
      <c r="G49" t="s">
        <v>32</v>
      </c>
      <c r="H49">
        <v>0.15</v>
      </c>
      <c r="I49" t="s">
        <v>47</v>
      </c>
      <c r="J49">
        <v>3961.136</v>
      </c>
      <c r="K49" t="s">
        <v>34</v>
      </c>
      <c r="L49" t="s">
        <v>41</v>
      </c>
      <c r="M49">
        <v>0</v>
      </c>
      <c r="N49" t="s">
        <v>150</v>
      </c>
      <c r="O49" t="s">
        <v>151</v>
      </c>
      <c r="P49">
        <v>6.47</v>
      </c>
      <c r="Q49" s="1">
        <v>45300</v>
      </c>
      <c r="R49" s="1">
        <v>45304</v>
      </c>
      <c r="S49" t="s">
        <v>28</v>
      </c>
      <c r="T49" t="str">
        <f t="shared" si="0"/>
        <v>January</v>
      </c>
    </row>
    <row r="50" spans="1:20" x14ac:dyDescent="0.3">
      <c r="A50" s="1">
        <v>45365</v>
      </c>
      <c r="B50" t="s">
        <v>39</v>
      </c>
      <c r="C50" t="s">
        <v>40</v>
      </c>
      <c r="D50">
        <v>5</v>
      </c>
      <c r="E50">
        <v>165.15</v>
      </c>
      <c r="F50" t="s">
        <v>31</v>
      </c>
      <c r="G50" t="s">
        <v>32</v>
      </c>
      <c r="H50">
        <v>0.1</v>
      </c>
      <c r="I50" t="s">
        <v>23</v>
      </c>
      <c r="J50">
        <v>743.17500000000007</v>
      </c>
      <c r="K50" t="s">
        <v>34</v>
      </c>
      <c r="M50">
        <v>0</v>
      </c>
      <c r="N50" t="s">
        <v>152</v>
      </c>
      <c r="O50" t="s">
        <v>153</v>
      </c>
      <c r="P50">
        <v>20.57</v>
      </c>
      <c r="Q50" s="1">
        <v>45365</v>
      </c>
      <c r="R50" s="1">
        <v>45367</v>
      </c>
      <c r="S50" t="s">
        <v>44</v>
      </c>
      <c r="T50" t="str">
        <f t="shared" si="0"/>
        <v>March</v>
      </c>
    </row>
    <row r="51" spans="1:20" x14ac:dyDescent="0.3">
      <c r="A51" s="1">
        <v>45541</v>
      </c>
      <c r="B51" t="s">
        <v>70</v>
      </c>
      <c r="C51" t="s">
        <v>55</v>
      </c>
      <c r="D51">
        <v>14</v>
      </c>
      <c r="E51">
        <v>242.82</v>
      </c>
      <c r="F51" t="s">
        <v>56</v>
      </c>
      <c r="G51" t="s">
        <v>22</v>
      </c>
      <c r="H51">
        <v>0.15</v>
      </c>
      <c r="I51" t="s">
        <v>33</v>
      </c>
      <c r="J51">
        <v>2889.558</v>
      </c>
      <c r="K51" t="s">
        <v>64</v>
      </c>
      <c r="L51" t="s">
        <v>41</v>
      </c>
      <c r="M51">
        <v>1</v>
      </c>
      <c r="N51" t="s">
        <v>154</v>
      </c>
      <c r="O51" t="s">
        <v>155</v>
      </c>
      <c r="P51">
        <v>20.71</v>
      </c>
      <c r="Q51" s="1">
        <v>45541</v>
      </c>
      <c r="R51" s="1">
        <v>45548</v>
      </c>
      <c r="S51" t="s">
        <v>73</v>
      </c>
      <c r="T51" t="str">
        <f t="shared" si="0"/>
        <v>September</v>
      </c>
    </row>
    <row r="52" spans="1:20" x14ac:dyDescent="0.3">
      <c r="A52" s="1">
        <v>45002</v>
      </c>
      <c r="B52" t="s">
        <v>19</v>
      </c>
      <c r="C52" t="s">
        <v>55</v>
      </c>
      <c r="D52">
        <v>13</v>
      </c>
      <c r="E52">
        <v>65.989999999999995</v>
      </c>
      <c r="F52" t="s">
        <v>31</v>
      </c>
      <c r="G52" t="s">
        <v>22</v>
      </c>
      <c r="H52">
        <v>0.1</v>
      </c>
      <c r="I52" t="s">
        <v>47</v>
      </c>
      <c r="J52">
        <v>772.08299999999997</v>
      </c>
      <c r="K52" t="s">
        <v>64</v>
      </c>
      <c r="L52" t="s">
        <v>41</v>
      </c>
      <c r="M52">
        <v>0</v>
      </c>
      <c r="N52" t="s">
        <v>156</v>
      </c>
      <c r="O52" t="s">
        <v>157</v>
      </c>
      <c r="P52">
        <v>12.87</v>
      </c>
      <c r="Q52" s="1">
        <v>45002</v>
      </c>
      <c r="R52" s="1">
        <v>45005</v>
      </c>
      <c r="S52" t="s">
        <v>28</v>
      </c>
      <c r="T52" t="str">
        <f t="shared" si="0"/>
        <v>March</v>
      </c>
    </row>
    <row r="53" spans="1:20" x14ac:dyDescent="0.3">
      <c r="A53" s="1">
        <v>45674</v>
      </c>
      <c r="B53" t="s">
        <v>70</v>
      </c>
      <c r="C53" t="s">
        <v>46</v>
      </c>
      <c r="D53">
        <v>2</v>
      </c>
      <c r="E53">
        <v>251.69</v>
      </c>
      <c r="F53" t="s">
        <v>51</v>
      </c>
      <c r="G53" t="s">
        <v>22</v>
      </c>
      <c r="H53">
        <v>0</v>
      </c>
      <c r="I53" t="s">
        <v>33</v>
      </c>
      <c r="J53">
        <v>503.38</v>
      </c>
      <c r="K53" t="s">
        <v>61</v>
      </c>
      <c r="L53" t="s">
        <v>25</v>
      </c>
      <c r="M53">
        <v>0</v>
      </c>
      <c r="N53" t="s">
        <v>158</v>
      </c>
      <c r="O53" t="s">
        <v>159</v>
      </c>
      <c r="P53">
        <v>42.49</v>
      </c>
      <c r="Q53" s="1">
        <v>45674</v>
      </c>
      <c r="R53" s="1">
        <v>45681</v>
      </c>
      <c r="S53" t="s">
        <v>73</v>
      </c>
      <c r="T53" t="str">
        <f t="shared" si="0"/>
        <v>January</v>
      </c>
    </row>
    <row r="54" spans="1:20" x14ac:dyDescent="0.3">
      <c r="A54" s="1">
        <v>45547</v>
      </c>
      <c r="B54" t="s">
        <v>29</v>
      </c>
      <c r="C54" t="s">
        <v>20</v>
      </c>
      <c r="D54">
        <v>1</v>
      </c>
      <c r="E54">
        <v>269.41000000000003</v>
      </c>
      <c r="F54" t="s">
        <v>21</v>
      </c>
      <c r="G54" t="s">
        <v>22</v>
      </c>
      <c r="H54">
        <v>0.1</v>
      </c>
      <c r="I54" t="s">
        <v>23</v>
      </c>
      <c r="J54">
        <v>242.46899999999999</v>
      </c>
      <c r="K54" t="s">
        <v>64</v>
      </c>
      <c r="L54" t="s">
        <v>41</v>
      </c>
      <c r="M54">
        <v>1</v>
      </c>
      <c r="N54" t="s">
        <v>160</v>
      </c>
      <c r="O54" t="s">
        <v>161</v>
      </c>
      <c r="P54">
        <v>19.22</v>
      </c>
      <c r="Q54" s="1">
        <v>45547</v>
      </c>
      <c r="R54" s="1">
        <v>45553</v>
      </c>
      <c r="S54" t="s">
        <v>38</v>
      </c>
      <c r="T54" t="str">
        <f t="shared" si="0"/>
        <v>September</v>
      </c>
    </row>
    <row r="55" spans="1:20" x14ac:dyDescent="0.3">
      <c r="A55" s="1">
        <v>45296</v>
      </c>
      <c r="B55" t="s">
        <v>29</v>
      </c>
      <c r="C55" t="s">
        <v>55</v>
      </c>
      <c r="D55">
        <v>2</v>
      </c>
      <c r="E55">
        <v>371.3</v>
      </c>
      <c r="F55" t="s">
        <v>21</v>
      </c>
      <c r="G55" t="s">
        <v>22</v>
      </c>
      <c r="H55">
        <v>0.05</v>
      </c>
      <c r="I55" t="s">
        <v>67</v>
      </c>
      <c r="J55">
        <v>705.47</v>
      </c>
      <c r="K55" t="s">
        <v>58</v>
      </c>
      <c r="L55" t="s">
        <v>35</v>
      </c>
      <c r="M55">
        <v>0</v>
      </c>
      <c r="N55" t="s">
        <v>162</v>
      </c>
      <c r="O55" t="s">
        <v>163</v>
      </c>
      <c r="P55">
        <v>36.51</v>
      </c>
      <c r="Q55" s="1">
        <v>45296</v>
      </c>
      <c r="R55" s="1">
        <v>45306</v>
      </c>
      <c r="S55" t="s">
        <v>38</v>
      </c>
      <c r="T55" t="str">
        <f t="shared" si="0"/>
        <v>January</v>
      </c>
    </row>
    <row r="56" spans="1:20" x14ac:dyDescent="0.3">
      <c r="A56" s="1">
        <v>45401</v>
      </c>
      <c r="B56" t="s">
        <v>70</v>
      </c>
      <c r="C56" t="s">
        <v>80</v>
      </c>
      <c r="D56">
        <v>11</v>
      </c>
      <c r="E56">
        <v>288.24</v>
      </c>
      <c r="F56" t="s">
        <v>31</v>
      </c>
      <c r="G56" t="s">
        <v>22</v>
      </c>
      <c r="H56">
        <v>0.15</v>
      </c>
      <c r="I56" t="s">
        <v>57</v>
      </c>
      <c r="J56">
        <v>2695.0439999999999</v>
      </c>
      <c r="K56" t="s">
        <v>24</v>
      </c>
      <c r="M56">
        <v>0</v>
      </c>
      <c r="N56" t="s">
        <v>164</v>
      </c>
      <c r="O56" t="s">
        <v>165</v>
      </c>
      <c r="P56">
        <v>37.39</v>
      </c>
      <c r="Q56" s="1">
        <v>45401</v>
      </c>
      <c r="R56" s="1">
        <v>45407</v>
      </c>
      <c r="S56" t="s">
        <v>73</v>
      </c>
      <c r="T56" t="str">
        <f t="shared" si="0"/>
        <v>April</v>
      </c>
    </row>
    <row r="57" spans="1:20" x14ac:dyDescent="0.3">
      <c r="A57" s="1">
        <v>45819</v>
      </c>
      <c r="B57" t="s">
        <v>45</v>
      </c>
      <c r="C57" t="s">
        <v>80</v>
      </c>
      <c r="D57">
        <v>11</v>
      </c>
      <c r="E57">
        <v>232.75</v>
      </c>
      <c r="F57" t="s">
        <v>56</v>
      </c>
      <c r="G57" t="s">
        <v>22</v>
      </c>
      <c r="H57">
        <v>0.05</v>
      </c>
      <c r="I57" t="s">
        <v>23</v>
      </c>
      <c r="J57">
        <v>2432.2375000000002</v>
      </c>
      <c r="K57" t="s">
        <v>58</v>
      </c>
      <c r="L57" t="s">
        <v>35</v>
      </c>
      <c r="M57">
        <v>0</v>
      </c>
      <c r="N57" t="s">
        <v>166</v>
      </c>
      <c r="O57" t="s">
        <v>167</v>
      </c>
      <c r="P57">
        <v>36.33</v>
      </c>
      <c r="Q57" s="1">
        <v>45819</v>
      </c>
      <c r="R57" s="1">
        <v>45829</v>
      </c>
      <c r="S57" t="s">
        <v>50</v>
      </c>
      <c r="T57" t="str">
        <f t="shared" si="0"/>
        <v>June</v>
      </c>
    </row>
    <row r="58" spans="1:20" x14ac:dyDescent="0.3">
      <c r="A58" s="1">
        <v>45722</v>
      </c>
      <c r="B58" t="s">
        <v>19</v>
      </c>
      <c r="C58" t="s">
        <v>30</v>
      </c>
      <c r="D58">
        <v>17</v>
      </c>
      <c r="E58">
        <v>146.28</v>
      </c>
      <c r="F58" t="s">
        <v>21</v>
      </c>
      <c r="G58" t="s">
        <v>32</v>
      </c>
      <c r="H58">
        <v>0.15</v>
      </c>
      <c r="I58" t="s">
        <v>52</v>
      </c>
      <c r="J58">
        <v>2113.7460000000001</v>
      </c>
      <c r="K58" t="s">
        <v>64</v>
      </c>
      <c r="L58" t="s">
        <v>35</v>
      </c>
      <c r="M58">
        <v>0</v>
      </c>
      <c r="N58" t="s">
        <v>168</v>
      </c>
      <c r="O58" t="s">
        <v>169</v>
      </c>
      <c r="P58">
        <v>7.84</v>
      </c>
      <c r="Q58" s="1">
        <v>45722</v>
      </c>
      <c r="R58" s="1">
        <v>45731</v>
      </c>
      <c r="S58" t="s">
        <v>28</v>
      </c>
      <c r="T58" t="str">
        <f t="shared" si="0"/>
        <v>March</v>
      </c>
    </row>
    <row r="59" spans="1:20" x14ac:dyDescent="0.3">
      <c r="A59" s="1">
        <v>45070</v>
      </c>
      <c r="B59" t="s">
        <v>19</v>
      </c>
      <c r="C59" t="s">
        <v>46</v>
      </c>
      <c r="D59">
        <v>5</v>
      </c>
      <c r="E59">
        <v>100.38</v>
      </c>
      <c r="F59" t="s">
        <v>51</v>
      </c>
      <c r="G59" t="s">
        <v>32</v>
      </c>
      <c r="H59">
        <v>0.1</v>
      </c>
      <c r="I59" t="s">
        <v>23</v>
      </c>
      <c r="J59">
        <v>451.71</v>
      </c>
      <c r="K59" t="s">
        <v>34</v>
      </c>
      <c r="L59" t="s">
        <v>41</v>
      </c>
      <c r="M59">
        <v>1</v>
      </c>
      <c r="N59" t="s">
        <v>170</v>
      </c>
      <c r="O59" t="s">
        <v>171</v>
      </c>
      <c r="P59">
        <v>18.350000000000001</v>
      </c>
      <c r="Q59" s="1">
        <v>45070</v>
      </c>
      <c r="R59" s="1">
        <v>45072</v>
      </c>
      <c r="S59" t="s">
        <v>28</v>
      </c>
      <c r="T59" t="str">
        <f t="shared" si="0"/>
        <v>May</v>
      </c>
    </row>
    <row r="60" spans="1:20" x14ac:dyDescent="0.3">
      <c r="A60" s="1">
        <v>44953</v>
      </c>
      <c r="B60" t="s">
        <v>29</v>
      </c>
      <c r="C60" t="s">
        <v>30</v>
      </c>
      <c r="D60">
        <v>11</v>
      </c>
      <c r="E60">
        <v>375.48</v>
      </c>
      <c r="F60" t="s">
        <v>21</v>
      </c>
      <c r="G60" t="s">
        <v>32</v>
      </c>
      <c r="H60">
        <v>0.05</v>
      </c>
      <c r="I60" t="s">
        <v>67</v>
      </c>
      <c r="J60">
        <v>3923.766000000001</v>
      </c>
      <c r="K60" t="s">
        <v>61</v>
      </c>
      <c r="L60" t="s">
        <v>41</v>
      </c>
      <c r="M60">
        <v>0</v>
      </c>
      <c r="N60" t="s">
        <v>172</v>
      </c>
      <c r="O60" t="s">
        <v>173</v>
      </c>
      <c r="P60">
        <v>15.95</v>
      </c>
      <c r="Q60" s="1">
        <v>44953</v>
      </c>
      <c r="R60" s="1">
        <v>44960</v>
      </c>
      <c r="S60" t="s">
        <v>38</v>
      </c>
      <c r="T60" t="str">
        <f t="shared" si="0"/>
        <v>January</v>
      </c>
    </row>
    <row r="61" spans="1:20" x14ac:dyDescent="0.3">
      <c r="A61" s="1">
        <v>45372</v>
      </c>
      <c r="B61" t="s">
        <v>29</v>
      </c>
      <c r="C61" t="s">
        <v>20</v>
      </c>
      <c r="D61">
        <v>18</v>
      </c>
      <c r="E61">
        <v>316.89</v>
      </c>
      <c r="F61" t="s">
        <v>21</v>
      </c>
      <c r="G61" t="s">
        <v>22</v>
      </c>
      <c r="H61">
        <v>0.05</v>
      </c>
      <c r="I61" t="s">
        <v>67</v>
      </c>
      <c r="J61">
        <v>5418.8190000000004</v>
      </c>
      <c r="K61" t="s">
        <v>64</v>
      </c>
      <c r="L61" t="s">
        <v>25</v>
      </c>
      <c r="M61">
        <v>0</v>
      </c>
      <c r="N61" t="s">
        <v>174</v>
      </c>
      <c r="O61" t="s">
        <v>175</v>
      </c>
      <c r="P61">
        <v>15.69</v>
      </c>
      <c r="Q61" s="1">
        <v>45372</v>
      </c>
      <c r="R61" s="1">
        <v>45378</v>
      </c>
      <c r="S61" t="s">
        <v>38</v>
      </c>
      <c r="T61" t="str">
        <f t="shared" si="0"/>
        <v>March</v>
      </c>
    </row>
    <row r="62" spans="1:20" x14ac:dyDescent="0.3">
      <c r="A62" s="1">
        <v>45682</v>
      </c>
      <c r="B62" t="s">
        <v>70</v>
      </c>
      <c r="C62" t="s">
        <v>20</v>
      </c>
      <c r="D62">
        <v>20</v>
      </c>
      <c r="E62">
        <v>295.06</v>
      </c>
      <c r="F62" t="s">
        <v>56</v>
      </c>
      <c r="G62" t="s">
        <v>32</v>
      </c>
      <c r="H62">
        <v>0.15</v>
      </c>
      <c r="I62" t="s">
        <v>47</v>
      </c>
      <c r="J62">
        <v>5016.0200000000004</v>
      </c>
      <c r="K62" t="s">
        <v>24</v>
      </c>
      <c r="L62" t="s">
        <v>35</v>
      </c>
      <c r="M62">
        <v>1</v>
      </c>
      <c r="N62" t="s">
        <v>176</v>
      </c>
      <c r="O62" t="s">
        <v>177</v>
      </c>
      <c r="P62">
        <v>13.66</v>
      </c>
      <c r="Q62" s="1">
        <v>45682</v>
      </c>
      <c r="R62" s="1">
        <v>45688</v>
      </c>
      <c r="S62" t="s">
        <v>73</v>
      </c>
      <c r="T62" t="str">
        <f t="shared" si="0"/>
        <v>January</v>
      </c>
    </row>
    <row r="63" spans="1:20" x14ac:dyDescent="0.3">
      <c r="A63" s="1">
        <v>45089</v>
      </c>
      <c r="B63" t="s">
        <v>45</v>
      </c>
      <c r="C63" t="s">
        <v>30</v>
      </c>
      <c r="D63">
        <v>8</v>
      </c>
      <c r="E63">
        <v>301.68</v>
      </c>
      <c r="F63" t="s">
        <v>56</v>
      </c>
      <c r="G63" t="s">
        <v>32</v>
      </c>
      <c r="H63">
        <v>0</v>
      </c>
      <c r="I63" t="s">
        <v>23</v>
      </c>
      <c r="J63">
        <v>2413.44</v>
      </c>
      <c r="K63" t="s">
        <v>64</v>
      </c>
      <c r="L63" t="s">
        <v>35</v>
      </c>
      <c r="M63">
        <v>0</v>
      </c>
      <c r="N63" t="s">
        <v>178</v>
      </c>
      <c r="O63" t="s">
        <v>179</v>
      </c>
      <c r="P63">
        <v>36.54</v>
      </c>
      <c r="Q63" s="1">
        <v>45089</v>
      </c>
      <c r="R63" s="1">
        <v>45098</v>
      </c>
      <c r="S63" t="s">
        <v>50</v>
      </c>
      <c r="T63" t="str">
        <f t="shared" si="0"/>
        <v>June</v>
      </c>
    </row>
    <row r="64" spans="1:20" x14ac:dyDescent="0.3">
      <c r="A64" s="1">
        <v>45738</v>
      </c>
      <c r="B64" t="s">
        <v>45</v>
      </c>
      <c r="C64" t="s">
        <v>46</v>
      </c>
      <c r="D64">
        <v>3</v>
      </c>
      <c r="E64">
        <v>475.39</v>
      </c>
      <c r="F64" t="s">
        <v>21</v>
      </c>
      <c r="G64" t="s">
        <v>32</v>
      </c>
      <c r="H64">
        <v>0.1</v>
      </c>
      <c r="I64" t="s">
        <v>33</v>
      </c>
      <c r="J64">
        <v>1283.5530000000001</v>
      </c>
      <c r="K64" t="s">
        <v>34</v>
      </c>
      <c r="M64">
        <v>0</v>
      </c>
      <c r="N64" t="s">
        <v>180</v>
      </c>
      <c r="O64" t="s">
        <v>181</v>
      </c>
      <c r="P64">
        <v>15.62</v>
      </c>
      <c r="Q64" s="1">
        <v>45738</v>
      </c>
      <c r="R64" s="1">
        <v>45742</v>
      </c>
      <c r="S64" t="s">
        <v>50</v>
      </c>
      <c r="T64" t="str">
        <f t="shared" si="0"/>
        <v>March</v>
      </c>
    </row>
    <row r="65" spans="1:20" x14ac:dyDescent="0.3">
      <c r="A65" s="1">
        <v>45346</v>
      </c>
      <c r="B65" t="s">
        <v>45</v>
      </c>
      <c r="C65" t="s">
        <v>40</v>
      </c>
      <c r="D65">
        <v>16</v>
      </c>
      <c r="E65">
        <v>47.25</v>
      </c>
      <c r="F65" t="s">
        <v>56</v>
      </c>
      <c r="G65" t="s">
        <v>32</v>
      </c>
      <c r="H65">
        <v>0.15</v>
      </c>
      <c r="I65" t="s">
        <v>67</v>
      </c>
      <c r="J65">
        <v>642.6</v>
      </c>
      <c r="K65" t="s">
        <v>61</v>
      </c>
      <c r="L65" t="s">
        <v>25</v>
      </c>
      <c r="M65">
        <v>0</v>
      </c>
      <c r="N65" t="s">
        <v>182</v>
      </c>
      <c r="O65" t="s">
        <v>183</v>
      </c>
      <c r="P65">
        <v>29.5</v>
      </c>
      <c r="Q65" s="1">
        <v>45346</v>
      </c>
      <c r="R65" s="1">
        <v>45349</v>
      </c>
      <c r="S65" t="s">
        <v>50</v>
      </c>
      <c r="T65" t="str">
        <f t="shared" si="0"/>
        <v>February</v>
      </c>
    </row>
    <row r="66" spans="1:20" x14ac:dyDescent="0.3">
      <c r="A66" s="1">
        <v>45269</v>
      </c>
      <c r="B66" t="s">
        <v>29</v>
      </c>
      <c r="C66" t="s">
        <v>46</v>
      </c>
      <c r="D66">
        <v>15</v>
      </c>
      <c r="E66">
        <v>511.17</v>
      </c>
      <c r="F66" t="s">
        <v>21</v>
      </c>
      <c r="G66" t="s">
        <v>22</v>
      </c>
      <c r="H66">
        <v>0</v>
      </c>
      <c r="I66" t="s">
        <v>47</v>
      </c>
      <c r="J66">
        <v>7667.55</v>
      </c>
      <c r="K66" t="s">
        <v>24</v>
      </c>
      <c r="L66" t="s">
        <v>25</v>
      </c>
      <c r="M66">
        <v>0</v>
      </c>
      <c r="N66" t="s">
        <v>184</v>
      </c>
      <c r="O66" t="s">
        <v>185</v>
      </c>
      <c r="P66">
        <v>21.77</v>
      </c>
      <c r="Q66" s="1">
        <v>45269</v>
      </c>
      <c r="R66" s="1">
        <v>45272</v>
      </c>
      <c r="S66" t="s">
        <v>38</v>
      </c>
      <c r="T66" t="str">
        <f t="shared" si="0"/>
        <v>December</v>
      </c>
    </row>
    <row r="67" spans="1:20" x14ac:dyDescent="0.3">
      <c r="A67" s="1">
        <v>45200</v>
      </c>
      <c r="B67" t="s">
        <v>45</v>
      </c>
      <c r="C67" t="s">
        <v>55</v>
      </c>
      <c r="D67">
        <v>3</v>
      </c>
      <c r="E67">
        <v>66.58</v>
      </c>
      <c r="F67" t="s">
        <v>21</v>
      </c>
      <c r="G67" t="s">
        <v>32</v>
      </c>
      <c r="H67">
        <v>0.1</v>
      </c>
      <c r="I67" t="s">
        <v>47</v>
      </c>
      <c r="J67">
        <v>179.76599999999999</v>
      </c>
      <c r="K67" t="s">
        <v>61</v>
      </c>
      <c r="L67" t="s">
        <v>25</v>
      </c>
      <c r="M67">
        <v>0</v>
      </c>
      <c r="N67" t="s">
        <v>186</v>
      </c>
      <c r="O67" t="s">
        <v>187</v>
      </c>
      <c r="P67">
        <v>22.43</v>
      </c>
      <c r="Q67" s="1">
        <v>45200</v>
      </c>
      <c r="R67" s="1">
        <v>45204</v>
      </c>
      <c r="S67" t="s">
        <v>50</v>
      </c>
      <c r="T67" t="str">
        <f t="shared" ref="T67:T101" si="1">TEXT(A67,"mmmm")</f>
        <v>October</v>
      </c>
    </row>
    <row r="68" spans="1:20" x14ac:dyDescent="0.3">
      <c r="A68" s="1">
        <v>45138</v>
      </c>
      <c r="B68" t="s">
        <v>70</v>
      </c>
      <c r="C68" t="s">
        <v>80</v>
      </c>
      <c r="D68">
        <v>5</v>
      </c>
      <c r="E68">
        <v>490.52</v>
      </c>
      <c r="F68" t="s">
        <v>56</v>
      </c>
      <c r="G68" t="s">
        <v>22</v>
      </c>
      <c r="H68">
        <v>0.05</v>
      </c>
      <c r="I68" t="s">
        <v>47</v>
      </c>
      <c r="J68">
        <v>2329.9699999999998</v>
      </c>
      <c r="K68" t="s">
        <v>24</v>
      </c>
      <c r="M68">
        <v>0</v>
      </c>
      <c r="N68" t="s">
        <v>188</v>
      </c>
      <c r="O68" t="s">
        <v>189</v>
      </c>
      <c r="P68">
        <v>12.24</v>
      </c>
      <c r="Q68" s="1">
        <v>45138</v>
      </c>
      <c r="R68" s="1">
        <v>45145</v>
      </c>
      <c r="S68" t="s">
        <v>73</v>
      </c>
      <c r="T68" t="str">
        <f t="shared" si="1"/>
        <v>July</v>
      </c>
    </row>
    <row r="69" spans="1:20" x14ac:dyDescent="0.3">
      <c r="A69" s="1">
        <v>45650</v>
      </c>
      <c r="B69" t="s">
        <v>29</v>
      </c>
      <c r="C69" t="s">
        <v>46</v>
      </c>
      <c r="D69">
        <v>8</v>
      </c>
      <c r="E69">
        <v>405.96</v>
      </c>
      <c r="F69" t="s">
        <v>31</v>
      </c>
      <c r="G69" t="s">
        <v>22</v>
      </c>
      <c r="H69">
        <v>0.05</v>
      </c>
      <c r="I69" t="s">
        <v>52</v>
      </c>
      <c r="J69">
        <v>3085.2959999999998</v>
      </c>
      <c r="K69" t="s">
        <v>58</v>
      </c>
      <c r="L69" t="s">
        <v>41</v>
      </c>
      <c r="M69">
        <v>0</v>
      </c>
      <c r="N69" t="s">
        <v>190</v>
      </c>
      <c r="O69" t="s">
        <v>191</v>
      </c>
      <c r="P69">
        <v>41.27</v>
      </c>
      <c r="Q69" s="1">
        <v>45650</v>
      </c>
      <c r="R69" s="1">
        <v>45657</v>
      </c>
      <c r="S69" t="s">
        <v>38</v>
      </c>
      <c r="T69" t="str">
        <f t="shared" si="1"/>
        <v>December</v>
      </c>
    </row>
    <row r="70" spans="1:20" x14ac:dyDescent="0.3">
      <c r="A70" s="1">
        <v>45611</v>
      </c>
      <c r="B70" t="s">
        <v>39</v>
      </c>
      <c r="C70" t="s">
        <v>30</v>
      </c>
      <c r="D70">
        <v>1</v>
      </c>
      <c r="E70">
        <v>159.41</v>
      </c>
      <c r="F70" t="s">
        <v>21</v>
      </c>
      <c r="G70" t="s">
        <v>32</v>
      </c>
      <c r="H70">
        <v>0.1</v>
      </c>
      <c r="I70" t="s">
        <v>67</v>
      </c>
      <c r="J70">
        <v>143.46899999999999</v>
      </c>
      <c r="K70" t="s">
        <v>58</v>
      </c>
      <c r="L70" t="s">
        <v>25</v>
      </c>
      <c r="M70">
        <v>0</v>
      </c>
      <c r="N70" t="s">
        <v>192</v>
      </c>
      <c r="O70" t="s">
        <v>193</v>
      </c>
      <c r="P70">
        <v>35.14</v>
      </c>
      <c r="Q70" s="1">
        <v>45611</v>
      </c>
      <c r="R70" s="1">
        <v>45615</v>
      </c>
      <c r="S70" t="s">
        <v>44</v>
      </c>
      <c r="T70" t="str">
        <f t="shared" si="1"/>
        <v>November</v>
      </c>
    </row>
    <row r="71" spans="1:20" x14ac:dyDescent="0.3">
      <c r="A71" s="1">
        <v>45729</v>
      </c>
      <c r="B71" t="s">
        <v>70</v>
      </c>
      <c r="C71" t="s">
        <v>55</v>
      </c>
      <c r="D71">
        <v>16</v>
      </c>
      <c r="E71">
        <v>38.49</v>
      </c>
      <c r="F71" t="s">
        <v>51</v>
      </c>
      <c r="G71" t="s">
        <v>32</v>
      </c>
      <c r="H71">
        <v>0.15</v>
      </c>
      <c r="I71" t="s">
        <v>52</v>
      </c>
      <c r="J71">
        <v>523.46400000000006</v>
      </c>
      <c r="K71" t="s">
        <v>61</v>
      </c>
      <c r="L71" t="s">
        <v>35</v>
      </c>
      <c r="M71">
        <v>0</v>
      </c>
      <c r="N71" t="s">
        <v>194</v>
      </c>
      <c r="O71" t="s">
        <v>195</v>
      </c>
      <c r="P71">
        <v>8.3800000000000008</v>
      </c>
      <c r="Q71" s="1">
        <v>45729</v>
      </c>
      <c r="R71" s="1">
        <v>45738</v>
      </c>
      <c r="S71" t="s">
        <v>73</v>
      </c>
      <c r="T71" t="str">
        <f t="shared" si="1"/>
        <v>March</v>
      </c>
    </row>
    <row r="72" spans="1:20" x14ac:dyDescent="0.3">
      <c r="A72" s="1">
        <v>45354</v>
      </c>
      <c r="B72" t="s">
        <v>19</v>
      </c>
      <c r="C72" t="s">
        <v>80</v>
      </c>
      <c r="D72">
        <v>15</v>
      </c>
      <c r="E72">
        <v>328.36</v>
      </c>
      <c r="F72" t="s">
        <v>56</v>
      </c>
      <c r="G72" t="s">
        <v>32</v>
      </c>
      <c r="H72">
        <v>0.15</v>
      </c>
      <c r="I72" t="s">
        <v>33</v>
      </c>
      <c r="J72">
        <v>4186.59</v>
      </c>
      <c r="K72" t="s">
        <v>34</v>
      </c>
      <c r="L72" t="s">
        <v>41</v>
      </c>
      <c r="M72">
        <v>0</v>
      </c>
      <c r="N72" t="s">
        <v>196</v>
      </c>
      <c r="O72" t="s">
        <v>197</v>
      </c>
      <c r="P72">
        <v>15.76</v>
      </c>
      <c r="Q72" s="1">
        <v>45354</v>
      </c>
      <c r="R72" s="1">
        <v>45363</v>
      </c>
      <c r="S72" t="s">
        <v>28</v>
      </c>
      <c r="T72" t="str">
        <f t="shared" si="1"/>
        <v>March</v>
      </c>
    </row>
    <row r="73" spans="1:20" x14ac:dyDescent="0.3">
      <c r="A73" s="1">
        <v>44968</v>
      </c>
      <c r="B73" t="s">
        <v>45</v>
      </c>
      <c r="C73" t="s">
        <v>80</v>
      </c>
      <c r="D73">
        <v>20</v>
      </c>
      <c r="E73">
        <v>548.01</v>
      </c>
      <c r="F73" t="s">
        <v>31</v>
      </c>
      <c r="G73" t="s">
        <v>22</v>
      </c>
      <c r="H73">
        <v>0.1</v>
      </c>
      <c r="I73" t="s">
        <v>23</v>
      </c>
      <c r="J73">
        <v>9864.18</v>
      </c>
      <c r="K73" t="s">
        <v>58</v>
      </c>
      <c r="L73" t="s">
        <v>41</v>
      </c>
      <c r="M73">
        <v>1</v>
      </c>
      <c r="N73" t="s">
        <v>198</v>
      </c>
      <c r="O73" t="s">
        <v>199</v>
      </c>
      <c r="P73">
        <v>5.89</v>
      </c>
      <c r="Q73" s="1">
        <v>44968</v>
      </c>
      <c r="R73" s="1">
        <v>44971</v>
      </c>
      <c r="S73" t="s">
        <v>50</v>
      </c>
      <c r="T73" t="str">
        <f t="shared" si="1"/>
        <v>February</v>
      </c>
    </row>
    <row r="74" spans="1:20" x14ac:dyDescent="0.3">
      <c r="A74" s="1">
        <v>45225</v>
      </c>
      <c r="B74" t="s">
        <v>29</v>
      </c>
      <c r="C74" t="s">
        <v>40</v>
      </c>
      <c r="D74">
        <v>13</v>
      </c>
      <c r="E74">
        <v>484.45</v>
      </c>
      <c r="F74" t="s">
        <v>21</v>
      </c>
      <c r="G74" t="s">
        <v>22</v>
      </c>
      <c r="H74">
        <v>0.05</v>
      </c>
      <c r="I74" t="s">
        <v>52</v>
      </c>
      <c r="J74">
        <v>5982.9575000000004</v>
      </c>
      <c r="K74" t="s">
        <v>34</v>
      </c>
      <c r="L74" t="s">
        <v>41</v>
      </c>
      <c r="M74">
        <v>1</v>
      </c>
      <c r="N74" t="s">
        <v>200</v>
      </c>
      <c r="O74" t="s">
        <v>201</v>
      </c>
      <c r="P74">
        <v>6.57</v>
      </c>
      <c r="Q74" s="1">
        <v>45225</v>
      </c>
      <c r="R74" s="1">
        <v>45235</v>
      </c>
      <c r="S74" t="s">
        <v>38</v>
      </c>
      <c r="T74" t="str">
        <f t="shared" si="1"/>
        <v>October</v>
      </c>
    </row>
    <row r="75" spans="1:20" x14ac:dyDescent="0.3">
      <c r="A75" s="1">
        <v>45220</v>
      </c>
      <c r="B75" t="s">
        <v>29</v>
      </c>
      <c r="C75" t="s">
        <v>55</v>
      </c>
      <c r="D75">
        <v>13</v>
      </c>
      <c r="E75">
        <v>195.84</v>
      </c>
      <c r="F75" t="s">
        <v>31</v>
      </c>
      <c r="G75" t="s">
        <v>22</v>
      </c>
      <c r="H75">
        <v>0.05</v>
      </c>
      <c r="I75" t="s">
        <v>33</v>
      </c>
      <c r="J75">
        <v>2418.6239999999998</v>
      </c>
      <c r="K75" t="s">
        <v>58</v>
      </c>
      <c r="M75">
        <v>0</v>
      </c>
      <c r="N75" t="s">
        <v>202</v>
      </c>
      <c r="O75" t="s">
        <v>203</v>
      </c>
      <c r="P75">
        <v>33.520000000000003</v>
      </c>
      <c r="Q75" s="1">
        <v>45220</v>
      </c>
      <c r="R75" s="1">
        <v>45227</v>
      </c>
      <c r="S75" t="s">
        <v>38</v>
      </c>
      <c r="T75" t="str">
        <f t="shared" si="1"/>
        <v>October</v>
      </c>
    </row>
    <row r="76" spans="1:20" x14ac:dyDescent="0.3">
      <c r="A76" s="1">
        <v>45305</v>
      </c>
      <c r="B76" t="s">
        <v>45</v>
      </c>
      <c r="C76" t="s">
        <v>80</v>
      </c>
      <c r="D76">
        <v>19</v>
      </c>
      <c r="E76">
        <v>29.94</v>
      </c>
      <c r="F76" t="s">
        <v>56</v>
      </c>
      <c r="G76" t="s">
        <v>32</v>
      </c>
      <c r="H76">
        <v>0.15</v>
      </c>
      <c r="I76" t="s">
        <v>57</v>
      </c>
      <c r="J76">
        <v>483.53100000000001</v>
      </c>
      <c r="K76" t="s">
        <v>61</v>
      </c>
      <c r="L76" t="s">
        <v>25</v>
      </c>
      <c r="M76">
        <v>0</v>
      </c>
      <c r="N76" t="s">
        <v>204</v>
      </c>
      <c r="O76" t="s">
        <v>205</v>
      </c>
      <c r="P76">
        <v>33.590000000000003</v>
      </c>
      <c r="Q76" s="1">
        <v>45305</v>
      </c>
      <c r="R76" s="1">
        <v>45311</v>
      </c>
      <c r="S76" t="s">
        <v>50</v>
      </c>
      <c r="T76" t="str">
        <f t="shared" si="1"/>
        <v>January</v>
      </c>
    </row>
    <row r="77" spans="1:20" x14ac:dyDescent="0.3">
      <c r="A77" s="1">
        <v>45134</v>
      </c>
      <c r="B77" t="s">
        <v>45</v>
      </c>
      <c r="C77" t="s">
        <v>40</v>
      </c>
      <c r="D77">
        <v>10</v>
      </c>
      <c r="E77">
        <v>553.91</v>
      </c>
      <c r="F77" t="s">
        <v>56</v>
      </c>
      <c r="G77" t="s">
        <v>22</v>
      </c>
      <c r="H77">
        <v>0.1</v>
      </c>
      <c r="I77" t="s">
        <v>23</v>
      </c>
      <c r="J77">
        <v>4985.1899999999996</v>
      </c>
      <c r="K77" t="s">
        <v>24</v>
      </c>
      <c r="M77">
        <v>0</v>
      </c>
      <c r="N77" t="s">
        <v>206</v>
      </c>
      <c r="O77" t="s">
        <v>207</v>
      </c>
      <c r="P77">
        <v>31.3</v>
      </c>
      <c r="Q77" s="1">
        <v>45134</v>
      </c>
      <c r="R77" s="1">
        <v>45138</v>
      </c>
      <c r="S77" t="s">
        <v>50</v>
      </c>
      <c r="T77" t="str">
        <f t="shared" si="1"/>
        <v>July</v>
      </c>
    </row>
    <row r="78" spans="1:20" x14ac:dyDescent="0.3">
      <c r="A78" s="1">
        <v>45588</v>
      </c>
      <c r="B78" t="s">
        <v>29</v>
      </c>
      <c r="C78" t="s">
        <v>30</v>
      </c>
      <c r="D78">
        <v>14</v>
      </c>
      <c r="E78">
        <v>445.52</v>
      </c>
      <c r="F78" t="s">
        <v>21</v>
      </c>
      <c r="G78" t="s">
        <v>32</v>
      </c>
      <c r="H78">
        <v>0.1</v>
      </c>
      <c r="I78" t="s">
        <v>67</v>
      </c>
      <c r="J78">
        <v>5613.5519999999997</v>
      </c>
      <c r="K78" t="s">
        <v>24</v>
      </c>
      <c r="L78" t="s">
        <v>35</v>
      </c>
      <c r="M78">
        <v>0</v>
      </c>
      <c r="N78" t="s">
        <v>208</v>
      </c>
      <c r="O78" t="s">
        <v>209</v>
      </c>
      <c r="P78">
        <v>14.41</v>
      </c>
      <c r="Q78" s="1">
        <v>45588</v>
      </c>
      <c r="R78" s="1">
        <v>45590</v>
      </c>
      <c r="S78" t="s">
        <v>38</v>
      </c>
      <c r="T78" t="str">
        <f t="shared" si="1"/>
        <v>October</v>
      </c>
    </row>
    <row r="79" spans="1:20" x14ac:dyDescent="0.3">
      <c r="A79" s="1">
        <v>45195</v>
      </c>
      <c r="B79" t="s">
        <v>29</v>
      </c>
      <c r="C79" t="s">
        <v>46</v>
      </c>
      <c r="D79">
        <v>5</v>
      </c>
      <c r="E79">
        <v>551.58000000000004</v>
      </c>
      <c r="F79" t="s">
        <v>21</v>
      </c>
      <c r="G79" t="s">
        <v>32</v>
      </c>
      <c r="H79">
        <v>0.15</v>
      </c>
      <c r="I79" t="s">
        <v>33</v>
      </c>
      <c r="J79">
        <v>2344.2150000000001</v>
      </c>
      <c r="K79" t="s">
        <v>24</v>
      </c>
      <c r="L79" t="s">
        <v>41</v>
      </c>
      <c r="M79">
        <v>1</v>
      </c>
      <c r="N79" t="s">
        <v>210</v>
      </c>
      <c r="O79" t="s">
        <v>211</v>
      </c>
      <c r="P79">
        <v>7.87</v>
      </c>
      <c r="Q79" s="1">
        <v>45195</v>
      </c>
      <c r="R79" s="1">
        <v>45200</v>
      </c>
      <c r="S79" t="s">
        <v>38</v>
      </c>
      <c r="T79" t="str">
        <f t="shared" si="1"/>
        <v>September</v>
      </c>
    </row>
    <row r="80" spans="1:20" x14ac:dyDescent="0.3">
      <c r="A80" s="1">
        <v>45276</v>
      </c>
      <c r="B80" t="s">
        <v>19</v>
      </c>
      <c r="C80" t="s">
        <v>30</v>
      </c>
      <c r="D80">
        <v>13</v>
      </c>
      <c r="E80">
        <v>241.4</v>
      </c>
      <c r="F80" t="s">
        <v>56</v>
      </c>
      <c r="G80" t="s">
        <v>32</v>
      </c>
      <c r="H80">
        <v>0</v>
      </c>
      <c r="I80" t="s">
        <v>52</v>
      </c>
      <c r="J80">
        <v>3138.2</v>
      </c>
      <c r="K80" t="s">
        <v>34</v>
      </c>
      <c r="L80" t="s">
        <v>35</v>
      </c>
      <c r="M80">
        <v>0</v>
      </c>
      <c r="N80" t="s">
        <v>212</v>
      </c>
      <c r="O80" t="s">
        <v>213</v>
      </c>
      <c r="P80">
        <v>49.05</v>
      </c>
      <c r="Q80" s="1">
        <v>45276</v>
      </c>
      <c r="R80" s="1">
        <v>45280</v>
      </c>
      <c r="S80" t="s">
        <v>28</v>
      </c>
      <c r="T80" t="str">
        <f t="shared" si="1"/>
        <v>December</v>
      </c>
    </row>
    <row r="81" spans="1:20" x14ac:dyDescent="0.3">
      <c r="A81" s="1">
        <v>45293</v>
      </c>
      <c r="B81" t="s">
        <v>45</v>
      </c>
      <c r="C81" t="s">
        <v>131</v>
      </c>
      <c r="D81">
        <v>19</v>
      </c>
      <c r="E81">
        <v>351.93</v>
      </c>
      <c r="F81" t="s">
        <v>31</v>
      </c>
      <c r="G81" t="s">
        <v>22</v>
      </c>
      <c r="H81">
        <v>0</v>
      </c>
      <c r="I81" t="s">
        <v>33</v>
      </c>
      <c r="J81">
        <v>6686.67</v>
      </c>
      <c r="K81" t="s">
        <v>58</v>
      </c>
      <c r="M81">
        <v>0</v>
      </c>
      <c r="N81" t="s">
        <v>214</v>
      </c>
      <c r="O81" t="s">
        <v>215</v>
      </c>
      <c r="P81">
        <v>39.979999999999997</v>
      </c>
      <c r="Q81" s="1">
        <v>45293</v>
      </c>
      <c r="R81" s="1">
        <v>45296</v>
      </c>
      <c r="S81" t="s">
        <v>50</v>
      </c>
      <c r="T81" t="str">
        <f t="shared" si="1"/>
        <v>January</v>
      </c>
    </row>
    <row r="82" spans="1:20" x14ac:dyDescent="0.3">
      <c r="A82" s="1">
        <v>45338</v>
      </c>
      <c r="B82" t="s">
        <v>39</v>
      </c>
      <c r="C82" t="s">
        <v>30</v>
      </c>
      <c r="D82">
        <v>4</v>
      </c>
      <c r="E82">
        <v>83.75</v>
      </c>
      <c r="F82" t="s">
        <v>31</v>
      </c>
      <c r="G82" t="s">
        <v>32</v>
      </c>
      <c r="H82">
        <v>0.05</v>
      </c>
      <c r="I82" t="s">
        <v>33</v>
      </c>
      <c r="J82">
        <v>318.25</v>
      </c>
      <c r="K82" t="s">
        <v>61</v>
      </c>
      <c r="L82" t="s">
        <v>35</v>
      </c>
      <c r="M82">
        <v>1</v>
      </c>
      <c r="N82" t="s">
        <v>216</v>
      </c>
      <c r="O82" t="s">
        <v>217</v>
      </c>
      <c r="P82">
        <v>38.82</v>
      </c>
      <c r="Q82" s="1">
        <v>45338</v>
      </c>
      <c r="R82" s="1">
        <v>45347</v>
      </c>
      <c r="S82" t="s">
        <v>44</v>
      </c>
      <c r="T82" t="str">
        <f t="shared" si="1"/>
        <v>February</v>
      </c>
    </row>
    <row r="83" spans="1:20" x14ac:dyDescent="0.3">
      <c r="A83" s="1">
        <v>45415</v>
      </c>
      <c r="B83" t="s">
        <v>19</v>
      </c>
      <c r="C83" t="s">
        <v>55</v>
      </c>
      <c r="D83">
        <v>5</v>
      </c>
      <c r="E83">
        <v>416.95</v>
      </c>
      <c r="F83" t="s">
        <v>31</v>
      </c>
      <c r="G83" t="s">
        <v>22</v>
      </c>
      <c r="H83">
        <v>0.15</v>
      </c>
      <c r="I83" t="s">
        <v>47</v>
      </c>
      <c r="J83">
        <v>1772.0374999999999</v>
      </c>
      <c r="K83" t="s">
        <v>24</v>
      </c>
      <c r="M83">
        <v>1</v>
      </c>
      <c r="N83" t="s">
        <v>218</v>
      </c>
      <c r="O83" t="s">
        <v>219</v>
      </c>
      <c r="P83">
        <v>24.03</v>
      </c>
      <c r="Q83" s="1">
        <v>45415</v>
      </c>
      <c r="R83" s="1">
        <v>45424</v>
      </c>
      <c r="S83" t="s">
        <v>28</v>
      </c>
      <c r="T83" t="str">
        <f t="shared" si="1"/>
        <v>May</v>
      </c>
    </row>
    <row r="84" spans="1:20" x14ac:dyDescent="0.3">
      <c r="A84" s="1">
        <v>45073</v>
      </c>
      <c r="B84" t="s">
        <v>70</v>
      </c>
      <c r="C84" t="s">
        <v>55</v>
      </c>
      <c r="D84">
        <v>18</v>
      </c>
      <c r="E84">
        <v>142.43</v>
      </c>
      <c r="F84" t="s">
        <v>51</v>
      </c>
      <c r="G84" t="s">
        <v>32</v>
      </c>
      <c r="H84">
        <v>0.05</v>
      </c>
      <c r="I84" t="s">
        <v>67</v>
      </c>
      <c r="J84">
        <v>2435.5529999999999</v>
      </c>
      <c r="K84" t="s">
        <v>58</v>
      </c>
      <c r="L84" t="s">
        <v>35</v>
      </c>
      <c r="M84">
        <v>1</v>
      </c>
      <c r="N84" t="s">
        <v>220</v>
      </c>
      <c r="O84" t="s">
        <v>221</v>
      </c>
      <c r="P84">
        <v>12.38</v>
      </c>
      <c r="Q84" s="1">
        <v>45073</v>
      </c>
      <c r="R84" s="1">
        <v>45079</v>
      </c>
      <c r="S84" t="s">
        <v>73</v>
      </c>
      <c r="T84" t="str">
        <f t="shared" si="1"/>
        <v>May</v>
      </c>
    </row>
    <row r="85" spans="1:20" x14ac:dyDescent="0.3">
      <c r="A85" s="1">
        <v>44931</v>
      </c>
      <c r="B85" t="s">
        <v>19</v>
      </c>
      <c r="C85" t="s">
        <v>40</v>
      </c>
      <c r="D85">
        <v>12</v>
      </c>
      <c r="E85">
        <v>582.52</v>
      </c>
      <c r="F85" t="s">
        <v>31</v>
      </c>
      <c r="G85" t="s">
        <v>22</v>
      </c>
      <c r="H85">
        <v>0</v>
      </c>
      <c r="I85" t="s">
        <v>67</v>
      </c>
      <c r="J85">
        <v>6990.24</v>
      </c>
      <c r="K85" t="s">
        <v>58</v>
      </c>
      <c r="L85" t="s">
        <v>25</v>
      </c>
      <c r="M85">
        <v>0</v>
      </c>
      <c r="N85" t="s">
        <v>222</v>
      </c>
      <c r="O85" t="s">
        <v>223</v>
      </c>
      <c r="P85">
        <v>41.16</v>
      </c>
      <c r="Q85" s="1">
        <v>44931</v>
      </c>
      <c r="R85" s="1">
        <v>44937</v>
      </c>
      <c r="S85" t="s">
        <v>28</v>
      </c>
      <c r="T85" t="str">
        <f t="shared" si="1"/>
        <v>January</v>
      </c>
    </row>
    <row r="86" spans="1:20" x14ac:dyDescent="0.3">
      <c r="A86" s="1">
        <v>45798</v>
      </c>
      <c r="B86" t="s">
        <v>19</v>
      </c>
      <c r="C86" t="s">
        <v>46</v>
      </c>
      <c r="D86">
        <v>20</v>
      </c>
      <c r="E86">
        <v>129.56</v>
      </c>
      <c r="F86" t="s">
        <v>31</v>
      </c>
      <c r="G86" t="s">
        <v>32</v>
      </c>
      <c r="H86">
        <v>0.15</v>
      </c>
      <c r="I86" t="s">
        <v>57</v>
      </c>
      <c r="J86">
        <v>2202.52</v>
      </c>
      <c r="K86" t="s">
        <v>24</v>
      </c>
      <c r="L86" t="s">
        <v>41</v>
      </c>
      <c r="M86">
        <v>0</v>
      </c>
      <c r="N86" t="s">
        <v>224</v>
      </c>
      <c r="O86" t="s">
        <v>225</v>
      </c>
      <c r="P86">
        <v>40.21</v>
      </c>
      <c r="Q86" s="1">
        <v>45798</v>
      </c>
      <c r="R86" s="1">
        <v>45800</v>
      </c>
      <c r="S86" t="s">
        <v>28</v>
      </c>
      <c r="T86" t="str">
        <f t="shared" si="1"/>
        <v>May</v>
      </c>
    </row>
    <row r="87" spans="1:20" x14ac:dyDescent="0.3">
      <c r="A87" s="1">
        <v>45128</v>
      </c>
      <c r="B87" t="s">
        <v>45</v>
      </c>
      <c r="C87" t="s">
        <v>80</v>
      </c>
      <c r="D87">
        <v>17</v>
      </c>
      <c r="E87">
        <v>431.82</v>
      </c>
      <c r="F87" t="s">
        <v>21</v>
      </c>
      <c r="G87" t="s">
        <v>32</v>
      </c>
      <c r="H87">
        <v>0</v>
      </c>
      <c r="I87" t="s">
        <v>23</v>
      </c>
      <c r="J87">
        <v>7340.94</v>
      </c>
      <c r="K87" t="s">
        <v>34</v>
      </c>
      <c r="L87" t="s">
        <v>25</v>
      </c>
      <c r="M87">
        <v>1</v>
      </c>
      <c r="N87" t="s">
        <v>226</v>
      </c>
      <c r="O87" t="s">
        <v>227</v>
      </c>
      <c r="P87">
        <v>37.75</v>
      </c>
      <c r="Q87" s="1">
        <v>45128</v>
      </c>
      <c r="R87" s="1">
        <v>45132</v>
      </c>
      <c r="S87" t="s">
        <v>50</v>
      </c>
      <c r="T87" t="str">
        <f t="shared" si="1"/>
        <v>July</v>
      </c>
    </row>
    <row r="88" spans="1:20" x14ac:dyDescent="0.3">
      <c r="A88" s="1">
        <v>45802</v>
      </c>
      <c r="B88" t="s">
        <v>19</v>
      </c>
      <c r="C88" t="s">
        <v>20</v>
      </c>
      <c r="D88">
        <v>15</v>
      </c>
      <c r="E88">
        <v>15.85</v>
      </c>
      <c r="F88" t="s">
        <v>51</v>
      </c>
      <c r="G88" t="s">
        <v>32</v>
      </c>
      <c r="H88">
        <v>0</v>
      </c>
      <c r="I88" t="s">
        <v>67</v>
      </c>
      <c r="J88">
        <v>237.75</v>
      </c>
      <c r="K88" t="s">
        <v>61</v>
      </c>
      <c r="L88" t="s">
        <v>41</v>
      </c>
      <c r="M88">
        <v>0</v>
      </c>
      <c r="N88" t="s">
        <v>228</v>
      </c>
      <c r="O88" t="s">
        <v>229</v>
      </c>
      <c r="P88">
        <v>23.49</v>
      </c>
      <c r="Q88" s="1">
        <v>45802</v>
      </c>
      <c r="R88" s="1">
        <v>45811</v>
      </c>
      <c r="S88" t="s">
        <v>28</v>
      </c>
      <c r="T88" t="str">
        <f t="shared" si="1"/>
        <v>May</v>
      </c>
    </row>
    <row r="89" spans="1:20" x14ac:dyDescent="0.3">
      <c r="A89" s="1">
        <v>45612</v>
      </c>
      <c r="B89" t="s">
        <v>29</v>
      </c>
      <c r="C89" t="s">
        <v>80</v>
      </c>
      <c r="D89">
        <v>20</v>
      </c>
      <c r="E89">
        <v>548.34</v>
      </c>
      <c r="F89" t="s">
        <v>21</v>
      </c>
      <c r="G89" t="s">
        <v>32</v>
      </c>
      <c r="H89">
        <v>0.1</v>
      </c>
      <c r="I89" t="s">
        <v>67</v>
      </c>
      <c r="J89">
        <v>9870.1200000000008</v>
      </c>
      <c r="K89" t="s">
        <v>34</v>
      </c>
      <c r="L89" t="s">
        <v>41</v>
      </c>
      <c r="M89">
        <v>0</v>
      </c>
      <c r="N89" t="s">
        <v>230</v>
      </c>
      <c r="O89" t="s">
        <v>231</v>
      </c>
      <c r="P89">
        <v>33.47</v>
      </c>
      <c r="Q89" s="1">
        <v>45612</v>
      </c>
      <c r="R89" s="1">
        <v>45618</v>
      </c>
      <c r="S89" t="s">
        <v>38</v>
      </c>
      <c r="T89" t="str">
        <f t="shared" si="1"/>
        <v>November</v>
      </c>
    </row>
    <row r="90" spans="1:20" x14ac:dyDescent="0.3">
      <c r="A90" s="1">
        <v>45249</v>
      </c>
      <c r="B90" t="s">
        <v>39</v>
      </c>
      <c r="C90" t="s">
        <v>20</v>
      </c>
      <c r="D90">
        <v>16</v>
      </c>
      <c r="E90">
        <v>525.83000000000004</v>
      </c>
      <c r="F90" t="s">
        <v>51</v>
      </c>
      <c r="G90" t="s">
        <v>22</v>
      </c>
      <c r="H90">
        <v>0.05</v>
      </c>
      <c r="I90" t="s">
        <v>47</v>
      </c>
      <c r="J90">
        <v>7992.616</v>
      </c>
      <c r="K90" t="s">
        <v>24</v>
      </c>
      <c r="M90">
        <v>0</v>
      </c>
      <c r="N90" t="s">
        <v>232</v>
      </c>
      <c r="O90" t="s">
        <v>233</v>
      </c>
      <c r="P90">
        <v>36.47</v>
      </c>
      <c r="Q90" s="1">
        <v>45249</v>
      </c>
      <c r="R90" s="1">
        <v>45255</v>
      </c>
      <c r="S90" t="s">
        <v>44</v>
      </c>
      <c r="T90" t="str">
        <f t="shared" si="1"/>
        <v>November</v>
      </c>
    </row>
    <row r="91" spans="1:20" x14ac:dyDescent="0.3">
      <c r="A91" s="1">
        <v>45669</v>
      </c>
      <c r="B91" t="s">
        <v>45</v>
      </c>
      <c r="C91" t="s">
        <v>20</v>
      </c>
      <c r="D91">
        <v>15</v>
      </c>
      <c r="E91">
        <v>411.38</v>
      </c>
      <c r="F91" t="s">
        <v>31</v>
      </c>
      <c r="G91" t="s">
        <v>22</v>
      </c>
      <c r="H91">
        <v>0.05</v>
      </c>
      <c r="I91" t="s">
        <v>67</v>
      </c>
      <c r="J91">
        <v>5862.165</v>
      </c>
      <c r="K91" t="s">
        <v>24</v>
      </c>
      <c r="L91" t="s">
        <v>35</v>
      </c>
      <c r="M91">
        <v>0</v>
      </c>
      <c r="N91" t="s">
        <v>234</v>
      </c>
      <c r="O91" t="s">
        <v>235</v>
      </c>
      <c r="P91">
        <v>48.51</v>
      </c>
      <c r="Q91" s="1">
        <v>45669</v>
      </c>
      <c r="R91" s="1">
        <v>45678</v>
      </c>
      <c r="S91" t="s">
        <v>50</v>
      </c>
      <c r="T91" t="str">
        <f t="shared" si="1"/>
        <v>January</v>
      </c>
    </row>
    <row r="92" spans="1:20" x14ac:dyDescent="0.3">
      <c r="A92" s="1">
        <v>45014</v>
      </c>
      <c r="B92" t="s">
        <v>39</v>
      </c>
      <c r="C92" t="s">
        <v>55</v>
      </c>
      <c r="D92">
        <v>19</v>
      </c>
      <c r="E92">
        <v>559.95000000000005</v>
      </c>
      <c r="F92" t="s">
        <v>31</v>
      </c>
      <c r="G92" t="s">
        <v>22</v>
      </c>
      <c r="H92">
        <v>0.1</v>
      </c>
      <c r="I92" t="s">
        <v>52</v>
      </c>
      <c r="J92">
        <v>9575.1450000000004</v>
      </c>
      <c r="K92" t="s">
        <v>58</v>
      </c>
      <c r="L92" t="s">
        <v>41</v>
      </c>
      <c r="M92">
        <v>0</v>
      </c>
      <c r="N92" t="s">
        <v>236</v>
      </c>
      <c r="O92" t="s">
        <v>237</v>
      </c>
      <c r="P92">
        <v>18.3</v>
      </c>
      <c r="Q92" s="1">
        <v>45014</v>
      </c>
      <c r="R92" s="1">
        <v>45019</v>
      </c>
      <c r="S92" t="s">
        <v>44</v>
      </c>
      <c r="T92" t="str">
        <f t="shared" si="1"/>
        <v>March</v>
      </c>
    </row>
    <row r="93" spans="1:20" x14ac:dyDescent="0.3">
      <c r="A93" s="1">
        <v>45717</v>
      </c>
      <c r="B93" t="s">
        <v>39</v>
      </c>
      <c r="C93" t="s">
        <v>40</v>
      </c>
      <c r="D93">
        <v>8</v>
      </c>
      <c r="E93">
        <v>179.9</v>
      </c>
      <c r="F93" t="s">
        <v>51</v>
      </c>
      <c r="G93" t="s">
        <v>32</v>
      </c>
      <c r="H93">
        <v>0.05</v>
      </c>
      <c r="I93" t="s">
        <v>52</v>
      </c>
      <c r="J93">
        <v>1367.24</v>
      </c>
      <c r="K93" t="s">
        <v>24</v>
      </c>
      <c r="L93" t="s">
        <v>35</v>
      </c>
      <c r="M93">
        <v>0</v>
      </c>
      <c r="N93" t="s">
        <v>238</v>
      </c>
      <c r="O93" t="s">
        <v>239</v>
      </c>
      <c r="P93">
        <v>14.8</v>
      </c>
      <c r="Q93" s="1">
        <v>45717</v>
      </c>
      <c r="R93" s="1">
        <v>45721</v>
      </c>
      <c r="S93" t="s">
        <v>44</v>
      </c>
      <c r="T93" t="str">
        <f t="shared" si="1"/>
        <v>March</v>
      </c>
    </row>
    <row r="94" spans="1:20" x14ac:dyDescent="0.3">
      <c r="A94" s="1">
        <v>45217</v>
      </c>
      <c r="B94" t="s">
        <v>39</v>
      </c>
      <c r="C94" t="s">
        <v>46</v>
      </c>
      <c r="D94">
        <v>12</v>
      </c>
      <c r="E94">
        <v>494.15</v>
      </c>
      <c r="F94" t="s">
        <v>21</v>
      </c>
      <c r="G94" t="s">
        <v>22</v>
      </c>
      <c r="H94">
        <v>0.15</v>
      </c>
      <c r="I94" t="s">
        <v>57</v>
      </c>
      <c r="J94">
        <v>5040.329999999999</v>
      </c>
      <c r="K94" t="s">
        <v>24</v>
      </c>
      <c r="L94" t="s">
        <v>35</v>
      </c>
      <c r="M94">
        <v>1</v>
      </c>
      <c r="N94" t="s">
        <v>240</v>
      </c>
      <c r="O94" t="s">
        <v>241</v>
      </c>
      <c r="P94">
        <v>18.05</v>
      </c>
      <c r="Q94" s="1">
        <v>45217</v>
      </c>
      <c r="R94" s="1">
        <v>45219</v>
      </c>
      <c r="S94" t="s">
        <v>44</v>
      </c>
      <c r="T94" t="str">
        <f t="shared" si="1"/>
        <v>October</v>
      </c>
    </row>
    <row r="95" spans="1:20" x14ac:dyDescent="0.3">
      <c r="A95" s="1">
        <v>45760</v>
      </c>
      <c r="B95" t="s">
        <v>19</v>
      </c>
      <c r="C95" t="s">
        <v>40</v>
      </c>
      <c r="D95">
        <v>10</v>
      </c>
      <c r="E95">
        <v>462.99</v>
      </c>
      <c r="F95" t="s">
        <v>51</v>
      </c>
      <c r="G95" t="s">
        <v>22</v>
      </c>
      <c r="H95">
        <v>0</v>
      </c>
      <c r="I95" t="s">
        <v>67</v>
      </c>
      <c r="J95">
        <v>4629.8999999999996</v>
      </c>
      <c r="K95" t="s">
        <v>58</v>
      </c>
      <c r="L95" t="s">
        <v>41</v>
      </c>
      <c r="M95">
        <v>0</v>
      </c>
      <c r="N95" t="s">
        <v>242</v>
      </c>
      <c r="O95" t="s">
        <v>243</v>
      </c>
      <c r="P95">
        <v>5.01</v>
      </c>
      <c r="Q95" s="1">
        <v>45760</v>
      </c>
      <c r="R95" s="1">
        <v>45762</v>
      </c>
      <c r="S95" t="s">
        <v>28</v>
      </c>
      <c r="T95" t="str">
        <f t="shared" si="1"/>
        <v>April</v>
      </c>
    </row>
    <row r="96" spans="1:20" x14ac:dyDescent="0.3">
      <c r="A96" s="1">
        <v>45790</v>
      </c>
      <c r="B96" t="s">
        <v>45</v>
      </c>
      <c r="C96" t="s">
        <v>20</v>
      </c>
      <c r="D96">
        <v>7</v>
      </c>
      <c r="E96">
        <v>460.24</v>
      </c>
      <c r="F96" t="s">
        <v>31</v>
      </c>
      <c r="G96" t="s">
        <v>32</v>
      </c>
      <c r="H96">
        <v>0.05</v>
      </c>
      <c r="I96" t="s">
        <v>33</v>
      </c>
      <c r="J96">
        <v>3060.596</v>
      </c>
      <c r="K96" t="s">
        <v>64</v>
      </c>
      <c r="L96" t="s">
        <v>35</v>
      </c>
      <c r="M96">
        <v>1</v>
      </c>
      <c r="N96" t="s">
        <v>244</v>
      </c>
      <c r="O96" t="s">
        <v>245</v>
      </c>
      <c r="P96">
        <v>11.54</v>
      </c>
      <c r="Q96" s="1">
        <v>45790</v>
      </c>
      <c r="R96" s="1">
        <v>45800</v>
      </c>
      <c r="S96" t="s">
        <v>50</v>
      </c>
      <c r="T96" t="str">
        <f t="shared" si="1"/>
        <v>May</v>
      </c>
    </row>
    <row r="97" spans="1:20" x14ac:dyDescent="0.3">
      <c r="A97" s="1">
        <v>45403</v>
      </c>
      <c r="B97" t="s">
        <v>70</v>
      </c>
      <c r="C97" t="s">
        <v>131</v>
      </c>
      <c r="D97">
        <v>17</v>
      </c>
      <c r="E97">
        <v>309.52</v>
      </c>
      <c r="F97" t="s">
        <v>21</v>
      </c>
      <c r="G97" t="s">
        <v>22</v>
      </c>
      <c r="H97">
        <v>0.05</v>
      </c>
      <c r="I97" t="s">
        <v>23</v>
      </c>
      <c r="J97">
        <v>4998.7479999999996</v>
      </c>
      <c r="K97" t="s">
        <v>24</v>
      </c>
      <c r="L97" t="s">
        <v>25</v>
      </c>
      <c r="M97">
        <v>0</v>
      </c>
      <c r="N97" t="s">
        <v>246</v>
      </c>
      <c r="O97" t="s">
        <v>247</v>
      </c>
      <c r="P97">
        <v>6.11</v>
      </c>
      <c r="Q97" s="1">
        <v>45403</v>
      </c>
      <c r="R97" s="1">
        <v>45409</v>
      </c>
      <c r="S97" t="s">
        <v>73</v>
      </c>
      <c r="T97" t="str">
        <f t="shared" si="1"/>
        <v>April</v>
      </c>
    </row>
    <row r="98" spans="1:20" x14ac:dyDescent="0.3">
      <c r="A98" s="1">
        <v>45688</v>
      </c>
      <c r="B98" t="s">
        <v>45</v>
      </c>
      <c r="C98" t="s">
        <v>55</v>
      </c>
      <c r="D98">
        <v>1</v>
      </c>
      <c r="E98">
        <v>323.83</v>
      </c>
      <c r="F98" t="s">
        <v>21</v>
      </c>
      <c r="G98" t="s">
        <v>22</v>
      </c>
      <c r="H98">
        <v>0.05</v>
      </c>
      <c r="I98" t="s">
        <v>23</v>
      </c>
      <c r="J98">
        <v>307.63850000000002</v>
      </c>
      <c r="K98" t="s">
        <v>58</v>
      </c>
      <c r="L98" t="s">
        <v>41</v>
      </c>
      <c r="M98">
        <v>0</v>
      </c>
      <c r="N98" t="s">
        <v>248</v>
      </c>
      <c r="O98" t="s">
        <v>249</v>
      </c>
      <c r="P98">
        <v>27.48</v>
      </c>
      <c r="Q98" s="1">
        <v>45688</v>
      </c>
      <c r="R98" s="1">
        <v>45696</v>
      </c>
      <c r="S98" t="s">
        <v>50</v>
      </c>
      <c r="T98" t="str">
        <f t="shared" si="1"/>
        <v>January</v>
      </c>
    </row>
    <row r="99" spans="1:20" x14ac:dyDescent="0.3">
      <c r="A99" s="1">
        <v>45730</v>
      </c>
      <c r="B99" t="s">
        <v>45</v>
      </c>
      <c r="C99" t="s">
        <v>46</v>
      </c>
      <c r="D99">
        <v>10</v>
      </c>
      <c r="E99">
        <v>503.07</v>
      </c>
      <c r="F99" t="s">
        <v>51</v>
      </c>
      <c r="G99" t="s">
        <v>32</v>
      </c>
      <c r="H99">
        <v>0</v>
      </c>
      <c r="I99" t="s">
        <v>67</v>
      </c>
      <c r="J99">
        <v>5030.7</v>
      </c>
      <c r="K99" t="s">
        <v>58</v>
      </c>
      <c r="L99" t="s">
        <v>25</v>
      </c>
      <c r="M99">
        <v>0</v>
      </c>
      <c r="N99" t="s">
        <v>250</v>
      </c>
      <c r="O99" t="s">
        <v>251</v>
      </c>
      <c r="P99">
        <v>44.61</v>
      </c>
      <c r="Q99" s="1">
        <v>45730</v>
      </c>
      <c r="R99" s="1">
        <v>45735</v>
      </c>
      <c r="S99" t="s">
        <v>50</v>
      </c>
      <c r="T99" t="str">
        <f t="shared" si="1"/>
        <v>March</v>
      </c>
    </row>
    <row r="100" spans="1:20" x14ac:dyDescent="0.3">
      <c r="A100" s="1">
        <v>45438</v>
      </c>
      <c r="B100" t="s">
        <v>70</v>
      </c>
      <c r="C100" t="s">
        <v>20</v>
      </c>
      <c r="D100">
        <v>20</v>
      </c>
      <c r="E100">
        <v>491.68</v>
      </c>
      <c r="F100" t="s">
        <v>56</v>
      </c>
      <c r="G100" t="s">
        <v>22</v>
      </c>
      <c r="H100">
        <v>0.15</v>
      </c>
      <c r="I100" t="s">
        <v>33</v>
      </c>
      <c r="J100">
        <v>8358.56</v>
      </c>
      <c r="K100" t="s">
        <v>24</v>
      </c>
      <c r="L100" t="s">
        <v>35</v>
      </c>
      <c r="M100">
        <v>1</v>
      </c>
      <c r="N100" t="s">
        <v>252</v>
      </c>
      <c r="O100" t="s">
        <v>253</v>
      </c>
      <c r="P100">
        <v>43.46</v>
      </c>
      <c r="Q100" s="1">
        <v>45438</v>
      </c>
      <c r="R100" s="1">
        <v>45441</v>
      </c>
      <c r="S100" t="s">
        <v>73</v>
      </c>
      <c r="T100" t="str">
        <f t="shared" si="1"/>
        <v>May</v>
      </c>
    </row>
    <row r="101" spans="1:20" x14ac:dyDescent="0.3">
      <c r="A101" s="1">
        <v>45129</v>
      </c>
      <c r="B101" t="s">
        <v>39</v>
      </c>
      <c r="C101" t="s">
        <v>30</v>
      </c>
      <c r="D101">
        <v>17</v>
      </c>
      <c r="E101">
        <v>468.45</v>
      </c>
      <c r="F101" t="s">
        <v>31</v>
      </c>
      <c r="G101" t="s">
        <v>32</v>
      </c>
      <c r="H101">
        <v>0.05</v>
      </c>
      <c r="I101" t="s">
        <v>52</v>
      </c>
      <c r="J101">
        <v>7565.4674999999997</v>
      </c>
      <c r="K101" t="s">
        <v>58</v>
      </c>
      <c r="L101" t="s">
        <v>25</v>
      </c>
      <c r="M101">
        <v>0</v>
      </c>
      <c r="N101" t="s">
        <v>254</v>
      </c>
      <c r="O101" t="s">
        <v>255</v>
      </c>
      <c r="P101">
        <v>17.88</v>
      </c>
      <c r="Q101" s="1">
        <v>45129</v>
      </c>
      <c r="R101" s="1">
        <v>45133</v>
      </c>
      <c r="S101" t="s">
        <v>44</v>
      </c>
      <c r="T101" t="str">
        <f t="shared" si="1"/>
        <v>July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D958F-0291-4FAA-B021-E7E831DCED45}">
  <dimension ref="B2:G23"/>
  <sheetViews>
    <sheetView showGridLines="0" zoomScale="83" zoomScaleNormal="86" workbookViewId="0">
      <selection activeCell="F30" sqref="F30"/>
    </sheetView>
  </sheetViews>
  <sheetFormatPr defaultRowHeight="14.4" x14ac:dyDescent="0.3"/>
  <cols>
    <col min="1" max="1" width="3.6640625" customWidth="1"/>
    <col min="2" max="2" width="12.77734375" bestFit="1" customWidth="1"/>
    <col min="3" max="3" width="12" bestFit="1" customWidth="1"/>
    <col min="4" max="4" width="4.88671875" customWidth="1"/>
    <col min="5" max="5" width="12.77734375" bestFit="1" customWidth="1"/>
    <col min="6" max="6" width="15.88671875" bestFit="1" customWidth="1"/>
    <col min="7" max="7" width="8.33203125" bestFit="1" customWidth="1"/>
    <col min="9" max="9" width="20.33203125" customWidth="1"/>
    <col min="10" max="10" width="15.44140625" customWidth="1"/>
    <col min="11" max="11" width="16.6640625" bestFit="1" customWidth="1"/>
    <col min="12" max="12" width="12" customWidth="1"/>
    <col min="13" max="13" width="14.33203125" bestFit="1" customWidth="1"/>
    <col min="14" max="14" width="16.77734375" bestFit="1" customWidth="1"/>
    <col min="17" max="17" width="12.6640625" bestFit="1" customWidth="1"/>
    <col min="20" max="20" width="13.33203125" bestFit="1" customWidth="1"/>
    <col min="21" max="21" width="15.88671875" bestFit="1" customWidth="1"/>
  </cols>
  <sheetData>
    <row r="2" spans="2:7" ht="28.8" x14ac:dyDescent="0.3">
      <c r="B2" s="3" t="s">
        <v>258</v>
      </c>
      <c r="C2" s="7" t="s">
        <v>257</v>
      </c>
      <c r="E2" s="8" t="s">
        <v>258</v>
      </c>
      <c r="F2" s="6" t="s">
        <v>257</v>
      </c>
      <c r="G2" s="7" t="s">
        <v>264</v>
      </c>
    </row>
    <row r="3" spans="2:7" x14ac:dyDescent="0.3">
      <c r="B3" s="4" t="s">
        <v>265</v>
      </c>
      <c r="C3" s="6">
        <v>35526.483</v>
      </c>
      <c r="E3" s="9" t="s">
        <v>46</v>
      </c>
      <c r="F3" s="7">
        <v>47507.756499999996</v>
      </c>
      <c r="G3" s="7">
        <v>169</v>
      </c>
    </row>
    <row r="4" spans="2:7" x14ac:dyDescent="0.3">
      <c r="B4" s="4" t="s">
        <v>266</v>
      </c>
      <c r="C4" s="6">
        <v>37971.304000000004</v>
      </c>
      <c r="E4" s="9" t="s">
        <v>40</v>
      </c>
      <c r="F4" s="7">
        <v>61269.575999999994</v>
      </c>
      <c r="G4" s="7">
        <v>194</v>
      </c>
    </row>
    <row r="5" spans="2:7" x14ac:dyDescent="0.3">
      <c r="B5" s="4" t="s">
        <v>262</v>
      </c>
      <c r="C5" s="6">
        <v>41071.667499999996</v>
      </c>
      <c r="E5" s="9" t="s">
        <v>20</v>
      </c>
      <c r="F5" s="7">
        <v>55555.426500000001</v>
      </c>
      <c r="G5" s="7">
        <v>188</v>
      </c>
    </row>
    <row r="6" spans="2:7" x14ac:dyDescent="0.3">
      <c r="B6" s="4" t="s">
        <v>267</v>
      </c>
      <c r="C6" s="6">
        <v>27095.969499999999</v>
      </c>
      <c r="E6" s="9" t="s">
        <v>55</v>
      </c>
      <c r="F6" s="7">
        <v>24137.040000000001</v>
      </c>
      <c r="G6" s="7">
        <v>110</v>
      </c>
    </row>
    <row r="7" spans="2:7" x14ac:dyDescent="0.3">
      <c r="B7" s="4" t="s">
        <v>268</v>
      </c>
      <c r="C7" s="6">
        <v>36831.326499999996</v>
      </c>
      <c r="E7" s="9" t="s">
        <v>30</v>
      </c>
      <c r="F7" s="7">
        <v>52564.610499999995</v>
      </c>
      <c r="G7" s="7">
        <v>161</v>
      </c>
    </row>
    <row r="8" spans="2:7" x14ac:dyDescent="0.3">
      <c r="B8" s="4" t="s">
        <v>263</v>
      </c>
      <c r="C8" s="6">
        <v>22365.816999999995</v>
      </c>
      <c r="E8" s="9" t="s">
        <v>131</v>
      </c>
      <c r="F8" s="7">
        <v>21996.18</v>
      </c>
      <c r="G8" s="7">
        <v>79</v>
      </c>
    </row>
    <row r="9" spans="2:7" x14ac:dyDescent="0.3">
      <c r="B9" s="4" t="s">
        <v>269</v>
      </c>
      <c r="C9" s="6">
        <v>26315.795999999998</v>
      </c>
      <c r="E9" s="9" t="s">
        <v>80</v>
      </c>
      <c r="F9" s="7">
        <v>53389.487000000008</v>
      </c>
      <c r="G9" s="7">
        <v>170</v>
      </c>
    </row>
    <row r="10" spans="2:7" x14ac:dyDescent="0.3">
      <c r="B10" s="4" t="s">
        <v>272</v>
      </c>
      <c r="C10" s="6">
        <v>6938.1840000000011</v>
      </c>
      <c r="E10" s="9" t="s">
        <v>259</v>
      </c>
      <c r="F10" s="7">
        <v>316420.07650000002</v>
      </c>
      <c r="G10" s="7">
        <v>1071</v>
      </c>
    </row>
    <row r="11" spans="2:7" x14ac:dyDescent="0.3">
      <c r="B11" s="4" t="s">
        <v>273</v>
      </c>
      <c r="C11" s="6">
        <v>6626.2020000000002</v>
      </c>
    </row>
    <row r="12" spans="2:7" x14ac:dyDescent="0.3">
      <c r="B12" s="4" t="s">
        <v>270</v>
      </c>
      <c r="C12" s="6">
        <v>27776.313499999997</v>
      </c>
    </row>
    <row r="13" spans="2:7" x14ac:dyDescent="0.3">
      <c r="B13" s="4" t="s">
        <v>274</v>
      </c>
      <c r="C13" s="6">
        <v>26981.652499999997</v>
      </c>
    </row>
    <row r="14" spans="2:7" x14ac:dyDescent="0.3">
      <c r="B14" s="4" t="s">
        <v>271</v>
      </c>
      <c r="C14" s="6">
        <v>20919.361000000001</v>
      </c>
    </row>
    <row r="15" spans="2:7" x14ac:dyDescent="0.3">
      <c r="B15" s="4" t="s">
        <v>259</v>
      </c>
      <c r="C15" s="6">
        <v>316420.07650000002</v>
      </c>
    </row>
    <row r="17" spans="2:7" ht="28.8" x14ac:dyDescent="0.3">
      <c r="B17" s="3" t="s">
        <v>258</v>
      </c>
      <c r="C17" s="7" t="s">
        <v>257</v>
      </c>
      <c r="E17" s="10" t="s">
        <v>256</v>
      </c>
      <c r="F17" s="10"/>
      <c r="G17" s="5" t="s">
        <v>260</v>
      </c>
    </row>
    <row r="18" spans="2:7" x14ac:dyDescent="0.3">
      <c r="B18" s="4" t="s">
        <v>45</v>
      </c>
      <c r="C18" s="6">
        <v>93552.871000000028</v>
      </c>
      <c r="E18" s="6" t="s">
        <v>19</v>
      </c>
      <c r="F18" s="6">
        <f>SUMIF(Sheet1!B2:B101,"East",Sheet1!J2:J101)</f>
        <v>56705.127499999988</v>
      </c>
      <c r="G18" s="6">
        <f>COUNTIF(Sheet1!B$2:B$101,"East")</f>
        <v>16</v>
      </c>
    </row>
    <row r="19" spans="2:7" x14ac:dyDescent="0.3">
      <c r="B19" s="4" t="s">
        <v>19</v>
      </c>
      <c r="C19" s="6">
        <v>56705.127499999988</v>
      </c>
      <c r="E19" s="6" t="s">
        <v>70</v>
      </c>
      <c r="F19" s="6">
        <f>SUMIF(Sheet1!B2:B101,"West",Sheet1!J2:J101)</f>
        <v>42490.721999999994</v>
      </c>
      <c r="G19" s="6">
        <f>COUNTIF(Sheet1!B$2:B$101,"West")</f>
        <v>17</v>
      </c>
    </row>
    <row r="20" spans="2:7" x14ac:dyDescent="0.3">
      <c r="B20" s="4" t="s">
        <v>39</v>
      </c>
      <c r="C20" s="6">
        <v>63998.01249999999</v>
      </c>
      <c r="E20" s="6" t="s">
        <v>39</v>
      </c>
      <c r="F20" s="6">
        <f>SUMIF(Sheet1!B2:B101,"North",Sheet1!J2:J101)</f>
        <v>63998.01249999999</v>
      </c>
      <c r="G20" s="6">
        <f>COUNTIF(Sheet1!B$2:B$101,"North")</f>
        <v>18</v>
      </c>
    </row>
    <row r="21" spans="2:7" x14ac:dyDescent="0.3">
      <c r="B21" s="4" t="s">
        <v>29</v>
      </c>
      <c r="C21" s="6">
        <v>59673.343499999995</v>
      </c>
      <c r="E21" s="6" t="s">
        <v>29</v>
      </c>
      <c r="F21" s="6">
        <f>SUMIF(Sheet1!B2:B101,"South",Sheet1!J2:J101)</f>
        <v>59673.343499999995</v>
      </c>
      <c r="G21" s="6">
        <f>COUNTIF(Sheet1!B$2:B$101,"South")</f>
        <v>21</v>
      </c>
    </row>
    <row r="22" spans="2:7" x14ac:dyDescent="0.3">
      <c r="B22" s="4" t="s">
        <v>70</v>
      </c>
      <c r="C22" s="6">
        <v>42490.721999999994</v>
      </c>
      <c r="E22" s="6" t="s">
        <v>45</v>
      </c>
      <c r="F22" s="6">
        <f>SUMIF(Sheet1!B2:B101,"Central",Sheet1!J2:J101)</f>
        <v>93552.871000000028</v>
      </c>
      <c r="G22" s="6">
        <f>COUNTIF(Sheet1!B$2:B$101,"Central")</f>
        <v>28</v>
      </c>
    </row>
    <row r="23" spans="2:7" x14ac:dyDescent="0.3">
      <c r="B23" s="4" t="s">
        <v>259</v>
      </c>
      <c r="C23" s="6">
        <v>316420.07650000002</v>
      </c>
    </row>
  </sheetData>
  <mergeCells count="1">
    <mergeCell ref="E17:F17"/>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 PALIWAL</dc:creator>
  <cp:lastModifiedBy>divyansh kasera</cp:lastModifiedBy>
  <dcterms:created xsi:type="dcterms:W3CDTF">2026-01-05T07:58:45Z</dcterms:created>
  <dcterms:modified xsi:type="dcterms:W3CDTF">2026-07-23T10:37:43Z</dcterms:modified>
</cp:coreProperties>
</file>